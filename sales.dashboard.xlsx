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Data Analytics\"/>
    </mc:Choice>
  </mc:AlternateContent>
  <xr:revisionPtr revIDLastSave="0" documentId="13_ncr:1_{BAF57BBA-DF74-4666-B9D7-5A8A18C74C3F}" xr6:coauthVersionLast="47" xr6:coauthVersionMax="47" xr10:uidLastSave="{00000000-0000-0000-0000-000000000000}"/>
  <bookViews>
    <workbookView xWindow="-108" yWindow="-108" windowWidth="23256" windowHeight="13176" xr2:uid="{EFBDD29C-7CA1-4C13-B0E5-54E1675B1975}"/>
  </bookViews>
  <sheets>
    <sheet name="Dashboard" sheetId="5" r:id="rId1"/>
    <sheet name="Calculation" sheetId="6" r:id="rId2"/>
    <sheet name="Raw data" sheetId="1" r:id="rId3"/>
    <sheet name="REQ" sheetId="4" r:id="rId4"/>
  </sheets>
  <definedNames>
    <definedName name="_xlchart.v5.0" hidden="1">Calculation!$H$3</definedName>
    <definedName name="_xlchart.v5.1" hidden="1">Calculation!$H$4:$H$8</definedName>
    <definedName name="_xlchart.v5.10" hidden="1">Calculation!$I$3</definedName>
    <definedName name="_xlchart.v5.11" hidden="1">Calculation!$I$4:$I$8</definedName>
    <definedName name="_xlchart.v5.12" hidden="1">Calculation!$H$3</definedName>
    <definedName name="_xlchart.v5.13" hidden="1">Calculation!$H$4:$H$8</definedName>
    <definedName name="_xlchart.v5.14" hidden="1">Calculation!$I$3</definedName>
    <definedName name="_xlchart.v5.15" hidden="1">Calculation!$I$4:$I$8</definedName>
    <definedName name="_xlchart.v5.2" hidden="1">Calculation!$I$3</definedName>
    <definedName name="_xlchart.v5.3" hidden="1">Calculation!$I$4:$I$8</definedName>
    <definedName name="_xlchart.v5.4" hidden="1">Calculation!$H$3</definedName>
    <definedName name="_xlchart.v5.5" hidden="1">Calculation!$H$4:$H$8</definedName>
    <definedName name="_xlchart.v5.6" hidden="1">Calculation!$I$3</definedName>
    <definedName name="_xlchart.v5.7" hidden="1">Calculation!$I$4:$I$8</definedName>
    <definedName name="_xlchart.v5.8" hidden="1">Calculation!$H$3</definedName>
    <definedName name="_xlchart.v5.9" hidden="1">Calculation!$H$4:$H$8</definedName>
    <definedName name="Slicer_Nam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6" l="1"/>
  <c r="I5" i="6"/>
  <c r="H6" i="6"/>
  <c r="I6" i="6"/>
  <c r="H7" i="6"/>
  <c r="I7" i="6"/>
  <c r="H8" i="6"/>
  <c r="I8" i="6"/>
  <c r="H4" i="6"/>
  <c r="I4" i="6"/>
</calcChain>
</file>

<file path=xl/sharedStrings.xml><?xml version="1.0" encoding="utf-8"?>
<sst xmlns="http://schemas.openxmlformats.org/spreadsheetml/2006/main" count="734" uniqueCount="73">
  <si>
    <t>Name</t>
  </si>
  <si>
    <t>Region</t>
  </si>
  <si>
    <t>Date</t>
  </si>
  <si>
    <t>Total Calls</t>
  </si>
  <si>
    <t>Calls Reached</t>
  </si>
  <si>
    <t>Average Duration (sec)</t>
  </si>
  <si>
    <t>Deals Closed</t>
  </si>
  <si>
    <t>Call Conversion Rate (%)</t>
  </si>
  <si>
    <t>Deal Value ($)</t>
  </si>
  <si>
    <t>Service Level</t>
  </si>
  <si>
    <t>Call Drop Rate (%)</t>
  </si>
  <si>
    <t>Evan</t>
  </si>
  <si>
    <t>Dhaka</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</si>
  <si>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</si>
  <si>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</si>
  <si>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</si>
  <si>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</si>
  <si>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</si>
  <si>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</si>
  <si>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</si>
  <si>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</si>
  <si>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</si>
  <si>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</si>
  <si>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</si>
  <si>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</si>
  <si>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</si>
  <si>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</si>
  <si>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</si>
  <si>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</si>
  <si>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</si>
  <si>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</si>
  <si>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</si>
  <si>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</si>
  <si>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</si>
  <si>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</si>
  <si>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</si>
  <si>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Rangpur</t>
  </si>
  <si>
    <t>David</t>
  </si>
  <si>
    <t>Mimi</t>
  </si>
  <si>
    <t>Sylhet</t>
  </si>
  <si>
    <t>Chittagong</t>
  </si>
  <si>
    <t>Barisal</t>
  </si>
  <si>
    <t>Total Business Update</t>
  </si>
  <si>
    <t>Performance By Month</t>
  </si>
  <si>
    <t>Individual Performance</t>
  </si>
  <si>
    <t>Service Level By Division</t>
  </si>
  <si>
    <t>Sum of Deal Value ($)</t>
  </si>
  <si>
    <t>Row Labels</t>
  </si>
  <si>
    <t>Values</t>
  </si>
  <si>
    <t xml:space="preserve"> Total Calls</t>
  </si>
  <si>
    <t xml:space="preserve"> Calls Reached</t>
  </si>
  <si>
    <t xml:space="preserve"> Deals Closed</t>
  </si>
  <si>
    <t xml:space="preserve"> Deal Value ($)</t>
  </si>
  <si>
    <t>Average of Service Level</t>
  </si>
  <si>
    <t>Jan</t>
  </si>
  <si>
    <t>Feb</t>
  </si>
  <si>
    <t>Mar</t>
  </si>
  <si>
    <t>Apr</t>
  </si>
  <si>
    <t>May</t>
  </si>
  <si>
    <t>Jun</t>
  </si>
  <si>
    <t>Jul</t>
  </si>
  <si>
    <t>Aug</t>
  </si>
  <si>
    <t>Sep</t>
  </si>
  <si>
    <t>Oct</t>
  </si>
  <si>
    <t>Nov</t>
  </si>
  <si>
    <t>Dec</t>
  </si>
  <si>
    <t>Sales Dashboard</t>
  </si>
  <si>
    <t>Evalution of KPI</t>
  </si>
  <si>
    <t>Sum of Total Calls</t>
  </si>
  <si>
    <t>Sum of Calls Reached</t>
  </si>
  <si>
    <t>Sum of Deals Closed</t>
  </si>
  <si>
    <t>Grand Total</t>
  </si>
  <si>
    <t>Performance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</si>
</sst>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quot;$&quot;* #,##0_);_(&quot;$&quot;* \(#,##0\);_(&quot;$&quot;* &quot;-&quot;??_);_(@_)"/>
  </numFmts>
  <fonts count="11" x14ac:knownFonts="1">
    <font>
      <sz val="11"/>
      <color theme="1"/>
      <name val="Calibri"/>
      <family val="2"/>
      <scheme val="minor"/>
    </font>
    <font>
      <sz val="11"/>
      <color theme="1"/>
      <name val="Calibri"/>
      <family val="2"/>
      <scheme val="minor"/>
    </font>
    <font>
      <b/>
      <sz val="11"/>
      <color theme="1"/>
      <name val="Calibri"/>
      <family val="2"/>
      <scheme val="minor"/>
    </font>
    <font>
      <sz val="11"/>
      <color theme="2"/>
      <name val="Calibri"/>
      <family val="2"/>
      <scheme val="minor"/>
    </font>
    <font>
      <b/>
      <sz val="12"/>
      <color theme="2"/>
      <name val="Calibri"/>
      <family val="2"/>
      <scheme val="minor"/>
    </font>
    <font>
      <b/>
      <sz val="24"/>
      <color theme="0"/>
      <name val="Arial"/>
      <family val="2"/>
    </font>
    <font>
      <sz val="11"/>
      <color theme="1"/>
      <name val="Arial"/>
      <family val="2"/>
    </font>
    <font>
      <i/>
      <sz val="14"/>
      <color theme="0"/>
      <name val="Calibri Light"/>
      <family val="2"/>
    </font>
    <font>
      <sz val="14"/>
      <color theme="1"/>
      <name val="Calibri Light"/>
      <family val="2"/>
    </font>
    <font>
      <sz val="11"/>
      <color theme="0"/>
      <name val="Calibri"/>
      <family val="2"/>
      <scheme val="minor"/>
    </font>
    <font>
      <sz val="9"/>
      <color theme="0"/>
      <name val="Calibri"/>
      <family val="2"/>
      <scheme val="minor"/>
    </font>
  </fonts>
  <fills count="6">
    <fill>
      <patternFill patternType="none"/>
    </fill>
    <fill>
      <patternFill patternType="gray125"/>
    </fill>
    <fill>
      <patternFill patternType="solid">
        <fgColor rgb="FF00B050"/>
        <bgColor indexed="64"/>
      </patternFill>
    </fill>
    <fill>
      <patternFill patternType="solid">
        <fgColor theme="4" tint="-0.249977111117893"/>
        <bgColor indexed="64"/>
      </patternFill>
    </fill>
    <fill>
      <patternFill patternType="solid">
        <fgColor rgb="FF0070C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14" fontId="0" fillId="0" borderId="0" xfId="0" applyNumberFormat="1"/>
    <xf numFmtId="9" fontId="0" fillId="0" borderId="0" xfId="1" applyFont="1"/>
    <xf numFmtId="0" fontId="0" fillId="2" borderId="0" xfId="0" applyFill="1"/>
    <xf numFmtId="0" fontId="3" fillId="2" borderId="1" xfId="0" applyFont="1" applyFill="1" applyBorder="1"/>
    <xf numFmtId="0" fontId="4" fillId="2" borderId="1" xfId="0" applyFont="1" applyFill="1" applyBorder="1"/>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165" fontId="0" fillId="0" borderId="0" xfId="0" applyNumberFormat="1"/>
    <xf numFmtId="0" fontId="2" fillId="0" borderId="0" xfId="0" applyFont="1" applyAlignment="1">
      <alignment horizontal="left"/>
    </xf>
    <xf numFmtId="0" fontId="3" fillId="3" borderId="0" xfId="0" applyFont="1" applyFill="1"/>
    <xf numFmtId="0" fontId="0" fillId="3" borderId="0" xfId="0" applyFill="1"/>
    <xf numFmtId="0" fontId="5" fillId="3" borderId="0" xfId="0" applyFont="1" applyFill="1"/>
    <xf numFmtId="0" fontId="6" fillId="0" borderId="0" xfId="0" applyFont="1"/>
    <xf numFmtId="0" fontId="7" fillId="3" borderId="0" xfId="0" applyFont="1" applyFill="1"/>
    <xf numFmtId="0" fontId="8" fillId="3" borderId="0" xfId="0" applyFont="1" applyFill="1"/>
    <xf numFmtId="0" fontId="9" fillId="4" borderId="0" xfId="0" applyFont="1" applyFill="1"/>
    <xf numFmtId="43" fontId="9" fillId="4" borderId="0" xfId="0" applyNumberFormat="1" applyFont="1" applyFill="1"/>
    <xf numFmtId="0" fontId="10" fillId="4" borderId="0" xfId="0" applyFont="1" applyFill="1" applyBorder="1"/>
    <xf numFmtId="0" fontId="0" fillId="5" borderId="0" xfId="0" applyFill="1"/>
  </cellXfs>
  <cellStyles count="2">
    <cellStyle name="Normal" xfId="0" builtinId="0"/>
    <cellStyle name="Percent" xfId="1" builtinId="5"/>
  </cellStyles>
  <dxfs count="212">
    <dxf>
      <numFmt numFmtId="35" formatCode="_(* #,##0.00_);_(* \(#,##0.00\);_(* &quot;-&quot;??_);_(@_)"/>
    </dxf>
    <dxf>
      <fill>
        <patternFill patternType="solid">
          <bgColor rgb="FF0070C0"/>
        </patternFill>
      </fill>
    </dxf>
    <dxf>
      <fill>
        <patternFill>
          <bgColor rgb="FF0070C0"/>
        </patternFill>
      </fill>
    </dxf>
    <dxf>
      <fill>
        <patternFill>
          <bgColor rgb="FF0070C0"/>
        </patternFill>
      </fill>
    </dxf>
    <dxf>
      <font>
        <color theme="0"/>
      </font>
    </dxf>
    <dxf>
      <font>
        <color theme="0"/>
      </font>
    </dxf>
    <dxf>
      <font>
        <sz val="9"/>
      </font>
    </dxf>
    <dxf>
      <font>
        <sz val="9"/>
      </font>
    </dxf>
    <dxf>
      <fill>
        <patternFill patternType="solid">
          <bgColor rgb="FF0070C0"/>
        </patternFill>
      </fill>
    </dxf>
    <dxf>
      <font>
        <color theme="0"/>
      </font>
    </dxf>
    <dxf>
      <border>
        <left/>
        <right/>
        <top/>
        <bottom/>
        <vertical/>
      </border>
    </dxf>
    <dxf>
      <border>
        <left/>
        <right/>
        <top/>
        <bottom/>
        <vertical/>
      </border>
    </dxf>
    <dxf>
      <numFmt numFmtId="35" formatCode="_(* #,##0.00_);_(* \(#,##0.00\);_(* &quot;-&quot;??_);_(@_)"/>
    </dxf>
    <dxf>
      <numFmt numFmtId="35" formatCode="_(* #,##0.00_);_(* \(#,##0.00\);_(* &quot;-&quot;??_);_(@_)"/>
    </dxf>
    <dxf>
      <numFmt numFmtId="164" formatCode="_(* #,##0_);_(* \(#,##0\);_(* &quot;-&quot;??_);_(@_)"/>
    </dxf>
    <dxf>
      <numFmt numFmtId="165" formatCode="_(&quot;$&quot;* #,##0_);_(&quot;$&quot;* \(#,##0\);_(&quot;$&quot;* &quot;-&quot;??_);_(@_)"/>
    </dxf>
    <dxf>
      <font>
        <b/>
      </font>
    </dxf>
    <dxf>
      <numFmt numFmtId="35" formatCode="_(* #,##0.00_);_(* \(#,##0.00\);_(* &quot;-&quot;??_);_(@_)"/>
    </dxf>
    <dxf>
      <numFmt numFmtId="35" formatCode="_(* #,##0.00_);_(* \(#,##0.00\);_(* &quot;-&quot;??_);_(@_)"/>
    </dxf>
    <dxf>
      <fill>
        <patternFill patternType="solid">
          <bgColor rgb="FF0070C0"/>
        </patternFill>
      </fill>
    </dxf>
    <dxf>
      <fill>
        <patternFill>
          <bgColor rgb="FF0070C0"/>
        </patternFill>
      </fill>
    </dxf>
    <dxf>
      <fill>
        <patternFill>
          <bgColor rgb="FF0070C0"/>
        </patternFill>
      </fill>
    </dxf>
    <dxf>
      <font>
        <color theme="0"/>
      </font>
    </dxf>
    <dxf>
      <font>
        <color theme="0"/>
      </font>
    </dxf>
    <dxf>
      <font>
        <sz val="9"/>
      </font>
    </dxf>
    <dxf>
      <font>
        <sz val="9"/>
      </font>
    </dxf>
    <dxf>
      <fill>
        <patternFill patternType="solid">
          <bgColor rgb="FF0070C0"/>
        </patternFill>
      </fill>
    </dxf>
    <dxf>
      <font>
        <color theme="0"/>
      </font>
    </dxf>
    <dxf>
      <border>
        <left/>
        <right/>
        <top/>
        <bottom/>
        <vertical/>
      </border>
    </dxf>
    <dxf>
      <border>
        <left/>
        <right/>
        <top/>
        <bottom/>
        <vertical/>
      </border>
    </dxf>
    <dxf>
      <numFmt numFmtId="35" formatCode="_(* #,##0.00_);_(* \(#,##0.00\);_(* &quot;-&quot;??_);_(@_)"/>
    </dxf>
    <dxf>
      <numFmt numFmtId="35" formatCode="_(* #,##0.00_);_(* \(#,##0.00\);_(* &quot;-&quot;??_);_(@_)"/>
    </dxf>
    <dxf>
      <numFmt numFmtId="164" formatCode="_(* #,##0_);_(* \(#,##0\);_(* &quot;-&quot;??_);_(@_)"/>
    </dxf>
    <dxf>
      <numFmt numFmtId="165" formatCode="_(&quot;$&quot;* #,##0_);_(&quot;$&quot;* \(#,##0\);_(&quot;$&quot;* &quot;-&quot;??_);_(@_)"/>
    </dxf>
    <dxf>
      <font>
        <b/>
      </font>
    </dxf>
    <dxf>
      <numFmt numFmtId="35" formatCode="_(* #,##0.00_);_(* \(#,##0.00\);_(* &quot;-&quot;??_);_(@_)"/>
    </dxf>
    <dxf>
      <numFmt numFmtId="35" formatCode="_(* #,##0.00_);_(* \(#,##0.00\);_(* &quot;-&quot;??_);_(@_)"/>
    </dxf>
    <dxf>
      <fill>
        <patternFill patternType="solid">
          <bgColor rgb="FF0070C0"/>
        </patternFill>
      </fill>
    </dxf>
    <dxf>
      <fill>
        <patternFill>
          <bgColor rgb="FF0070C0"/>
        </patternFill>
      </fill>
    </dxf>
    <dxf>
      <fill>
        <patternFill>
          <bgColor rgb="FF0070C0"/>
        </patternFill>
      </fill>
    </dxf>
    <dxf>
      <font>
        <color theme="0"/>
      </font>
    </dxf>
    <dxf>
      <font>
        <color theme="0"/>
      </font>
    </dxf>
    <dxf>
      <font>
        <sz val="9"/>
      </font>
    </dxf>
    <dxf>
      <font>
        <sz val="9"/>
      </font>
    </dxf>
    <dxf>
      <fill>
        <patternFill patternType="solid">
          <bgColor rgb="FF0070C0"/>
        </patternFill>
      </fill>
    </dxf>
    <dxf>
      <font>
        <color theme="0"/>
      </font>
    </dxf>
    <dxf>
      <border>
        <left/>
        <right/>
        <top/>
        <bottom/>
        <vertical/>
      </border>
    </dxf>
    <dxf>
      <border>
        <left/>
        <right/>
        <top/>
        <bottom/>
        <vertical/>
      </border>
    </dxf>
    <dxf>
      <numFmt numFmtId="35" formatCode="_(* #,##0.00_);_(* \(#,##0.00\);_(* &quot;-&quot;??_);_(@_)"/>
    </dxf>
    <dxf>
      <fill>
        <patternFill patternType="solid">
          <bgColor rgb="FF0070C0"/>
        </patternFill>
      </fill>
    </dxf>
    <dxf>
      <fill>
        <patternFill>
          <bgColor rgb="FF0070C0"/>
        </patternFill>
      </fill>
    </dxf>
    <dxf>
      <fill>
        <patternFill>
          <bgColor rgb="FF0070C0"/>
        </patternFill>
      </fill>
    </dxf>
    <dxf>
      <font>
        <color theme="0"/>
      </font>
    </dxf>
    <dxf>
      <font>
        <color theme="0"/>
      </font>
    </dxf>
    <dxf>
      <font>
        <sz val="9"/>
      </font>
    </dxf>
    <dxf>
      <font>
        <sz val="9"/>
      </font>
    </dxf>
    <dxf>
      <fill>
        <patternFill patternType="solid">
          <bgColor rgb="FF0070C0"/>
        </patternFill>
      </fill>
    </dxf>
    <dxf>
      <font>
        <color theme="0"/>
      </font>
    </dxf>
    <dxf>
      <border>
        <left/>
        <right/>
        <top/>
        <bottom/>
        <vertical/>
      </border>
    </dxf>
    <dxf>
      <border>
        <left/>
        <right/>
        <top/>
        <bottom/>
        <vertical/>
      </border>
    </dxf>
    <dxf>
      <numFmt numFmtId="35" formatCode="_(* #,##0.00_);_(* \(#,##0.00\);_(* &quot;-&quot;??_);_(@_)"/>
    </dxf>
    <dxf>
      <numFmt numFmtId="35" formatCode="_(* #,##0.00_);_(* \(#,##0.00\);_(* &quot;-&quot;??_);_(@_)"/>
    </dxf>
    <dxf>
      <numFmt numFmtId="164" formatCode="_(* #,##0_);_(* \(#,##0\);_(* &quot;-&quot;??_);_(@_)"/>
    </dxf>
    <dxf>
      <numFmt numFmtId="165" formatCode="_(&quot;$&quot;* #,##0_);_(&quot;$&quot;* \(#,##0\);_(&quot;$&quot;* &quot;-&quot;??_);_(@_)"/>
    </dxf>
    <dxf>
      <font>
        <b/>
      </font>
    </dxf>
    <dxf>
      <numFmt numFmtId="35" formatCode="_(* #,##0.00_);_(* \(#,##0.00\);_(* &quot;-&quot;??_);_(@_)"/>
    </dxf>
    <dxf>
      <numFmt numFmtId="35" formatCode="_(* #,##0.00_);_(* \(#,##0.00\);_(* &quot;-&quot;??_);_(@_)"/>
    </dxf>
    <dxf>
      <fill>
        <patternFill patternType="solid">
          <bgColor rgb="FF0070C0"/>
        </patternFill>
      </fill>
    </dxf>
    <dxf>
      <fill>
        <patternFill>
          <bgColor rgb="FF0070C0"/>
        </patternFill>
      </fill>
    </dxf>
    <dxf>
      <fill>
        <patternFill>
          <bgColor rgb="FF0070C0"/>
        </patternFill>
      </fill>
    </dxf>
    <dxf>
      <font>
        <color theme="0"/>
      </font>
    </dxf>
    <dxf>
      <font>
        <color theme="0"/>
      </font>
    </dxf>
    <dxf>
      <font>
        <sz val="9"/>
      </font>
    </dxf>
    <dxf>
      <font>
        <sz val="9"/>
      </font>
    </dxf>
    <dxf>
      <fill>
        <patternFill patternType="solid">
          <bgColor rgb="FF0070C0"/>
        </patternFill>
      </fill>
    </dxf>
    <dxf>
      <font>
        <color theme="0"/>
      </font>
    </dxf>
    <dxf>
      <border>
        <left/>
        <right/>
        <top/>
        <bottom/>
        <vertical/>
      </border>
    </dxf>
    <dxf>
      <border>
        <left/>
        <right/>
        <top/>
        <bottom/>
        <vertical/>
      </border>
    </dxf>
    <dxf>
      <numFmt numFmtId="35" formatCode="_(* #,##0.00_);_(* \(#,##0.00\);_(* &quot;-&quot;??_);_(@_)"/>
    </dxf>
    <dxf>
      <numFmt numFmtId="35" formatCode="_(* #,##0.00_);_(* \(#,##0.00\);_(* &quot;-&quot;??_);_(@_)"/>
    </dxf>
    <dxf>
      <numFmt numFmtId="164" formatCode="_(* #,##0_);_(* \(#,##0\);_(* &quot;-&quot;??_);_(@_)"/>
    </dxf>
    <dxf>
      <numFmt numFmtId="165" formatCode="_(&quot;$&quot;* #,##0_);_(&quot;$&quot;* \(#,##0\);_(&quot;$&quot;* &quot;-&quot;??_);_(@_)"/>
    </dxf>
    <dxf>
      <font>
        <b/>
      </font>
    </dxf>
    <dxf>
      <numFmt numFmtId="35" formatCode="_(* #,##0.00_);_(* \(#,##0.00\);_(* &quot;-&quot;??_);_(@_)"/>
    </dxf>
    <dxf>
      <numFmt numFmtId="35" formatCode="_(* #,##0.00_);_(* \(#,##0.00\);_(* &quot;-&quot;??_);_(@_)"/>
    </dxf>
    <dxf>
      <fill>
        <patternFill patternType="solid">
          <bgColor rgb="FF0070C0"/>
        </patternFill>
      </fill>
    </dxf>
    <dxf>
      <fill>
        <patternFill>
          <bgColor rgb="FF0070C0"/>
        </patternFill>
      </fill>
    </dxf>
    <dxf>
      <fill>
        <patternFill>
          <bgColor rgb="FF0070C0"/>
        </patternFill>
      </fill>
    </dxf>
    <dxf>
      <font>
        <color theme="0"/>
      </font>
    </dxf>
    <dxf>
      <font>
        <color theme="0"/>
      </font>
    </dxf>
    <dxf>
      <font>
        <sz val="9"/>
      </font>
    </dxf>
    <dxf>
      <font>
        <sz val="9"/>
      </font>
    </dxf>
    <dxf>
      <fill>
        <patternFill patternType="solid">
          <bgColor rgb="FF0070C0"/>
        </patternFill>
      </fill>
    </dxf>
    <dxf>
      <font>
        <color theme="0"/>
      </font>
    </dxf>
    <dxf>
      <border>
        <left/>
        <right/>
        <top/>
        <bottom/>
        <vertical/>
      </border>
    </dxf>
    <dxf>
      <border>
        <left/>
        <right/>
        <top/>
        <bottom/>
        <vertical/>
      </border>
    </dxf>
    <dxf>
      <numFmt numFmtId="35" formatCode="_(* #,##0.00_);_(* \(#,##0.00\);_(* &quot;-&quot;??_);_(@_)"/>
    </dxf>
    <dxf>
      <numFmt numFmtId="35" formatCode="_(* #,##0.00_);_(* \(#,##0.00\);_(* &quot;-&quot;??_);_(@_)"/>
    </dxf>
    <dxf>
      <numFmt numFmtId="164" formatCode="_(* #,##0_);_(* \(#,##0\);_(* &quot;-&quot;??_);_(@_)"/>
    </dxf>
    <dxf>
      <numFmt numFmtId="165" formatCode="_(&quot;$&quot;* #,##0_);_(&quot;$&quot;* \(#,##0\);_(&quot;$&quot;* &quot;-&quot;??_);_(@_)"/>
    </dxf>
    <dxf>
      <font>
        <b/>
      </font>
    </dxf>
    <dxf>
      <numFmt numFmtId="35" formatCode="_(* #,##0.00_);_(* \(#,##0.00\);_(* &quot;-&quot;??_);_(@_)"/>
    </dxf>
    <dxf>
      <numFmt numFmtId="35" formatCode="_(* #,##0.00_);_(* \(#,##0.00\);_(* &quot;-&quot;??_);_(@_)"/>
    </dxf>
    <dxf>
      <fill>
        <patternFill patternType="solid">
          <bgColor rgb="FF0070C0"/>
        </patternFill>
      </fill>
    </dxf>
    <dxf>
      <fill>
        <patternFill>
          <bgColor rgb="FF0070C0"/>
        </patternFill>
      </fill>
    </dxf>
    <dxf>
      <fill>
        <patternFill>
          <bgColor rgb="FF0070C0"/>
        </patternFill>
      </fill>
    </dxf>
    <dxf>
      <font>
        <color theme="0"/>
      </font>
    </dxf>
    <dxf>
      <font>
        <color theme="0"/>
      </font>
    </dxf>
    <dxf>
      <font>
        <sz val="9"/>
      </font>
    </dxf>
    <dxf>
      <font>
        <sz val="9"/>
      </font>
    </dxf>
    <dxf>
      <fill>
        <patternFill patternType="solid">
          <bgColor rgb="FF0070C0"/>
        </patternFill>
      </fill>
    </dxf>
    <dxf>
      <font>
        <color theme="0"/>
      </font>
    </dxf>
    <dxf>
      <border>
        <left/>
        <right/>
        <top/>
        <bottom/>
        <vertical/>
      </border>
    </dxf>
    <dxf>
      <border>
        <left/>
        <right/>
        <top/>
        <bottom/>
        <vertical/>
      </border>
    </dxf>
    <dxf>
      <numFmt numFmtId="35" formatCode="_(* #,##0.00_);_(* \(#,##0.00\);_(* &quot;-&quot;??_);_(@_)"/>
    </dxf>
    <dxf>
      <numFmt numFmtId="35" formatCode="_(* #,##0.00_);_(* \(#,##0.00\);_(* &quot;-&quot;??_);_(@_)"/>
    </dxf>
    <dxf>
      <numFmt numFmtId="164" formatCode="_(* #,##0_);_(* \(#,##0\);_(* &quot;-&quot;??_);_(@_)"/>
    </dxf>
    <dxf>
      <numFmt numFmtId="165" formatCode="_(&quot;$&quot;* #,##0_);_(&quot;$&quot;* \(#,##0\);_(&quot;$&quot;* &quot;-&quot;??_);_(@_)"/>
    </dxf>
    <dxf>
      <font>
        <b/>
      </font>
    </dxf>
    <dxf>
      <numFmt numFmtId="35" formatCode="_(* #,##0.00_);_(* \(#,##0.00\);_(* &quot;-&quot;??_);_(@_)"/>
    </dxf>
    <dxf>
      <numFmt numFmtId="35" formatCode="_(* #,##0.00_);_(* \(#,##0.00\);_(* &quot;-&quot;??_);_(@_)"/>
    </dxf>
    <dxf>
      <fill>
        <patternFill patternType="solid">
          <bgColor rgb="FF0070C0"/>
        </patternFill>
      </fill>
    </dxf>
    <dxf>
      <fill>
        <patternFill>
          <bgColor rgb="FF0070C0"/>
        </patternFill>
      </fill>
    </dxf>
    <dxf>
      <fill>
        <patternFill>
          <bgColor rgb="FF0070C0"/>
        </patternFill>
      </fill>
    </dxf>
    <dxf>
      <font>
        <color theme="0"/>
      </font>
    </dxf>
    <dxf>
      <font>
        <color theme="0"/>
      </font>
    </dxf>
    <dxf>
      <font>
        <sz val="9"/>
      </font>
    </dxf>
    <dxf>
      <font>
        <sz val="9"/>
      </font>
    </dxf>
    <dxf>
      <fill>
        <patternFill patternType="solid">
          <bgColor rgb="FF0070C0"/>
        </patternFill>
      </fill>
    </dxf>
    <dxf>
      <font>
        <color theme="0"/>
      </font>
    </dxf>
    <dxf>
      <border>
        <left/>
        <right/>
        <top/>
        <bottom/>
        <vertical/>
      </border>
    </dxf>
    <dxf>
      <border>
        <left/>
        <right/>
        <top/>
        <bottom/>
        <vertical/>
      </border>
    </dxf>
    <dxf>
      <numFmt numFmtId="35" formatCode="_(* #,##0.00_);_(* \(#,##0.00\);_(* &quot;-&quot;??_);_(@_)"/>
    </dxf>
    <dxf>
      <numFmt numFmtId="35" formatCode="_(* #,##0.00_);_(* \(#,##0.00\);_(* &quot;-&quot;??_);_(@_)"/>
    </dxf>
    <dxf>
      <numFmt numFmtId="164" formatCode="_(* #,##0_);_(* \(#,##0\);_(* &quot;-&quot;??_);_(@_)"/>
    </dxf>
    <dxf>
      <numFmt numFmtId="165" formatCode="_(&quot;$&quot;* #,##0_);_(&quot;$&quot;* \(#,##0\);_(&quot;$&quot;* &quot;-&quot;??_);_(@_)"/>
    </dxf>
    <dxf>
      <font>
        <b/>
      </font>
    </dxf>
    <dxf>
      <numFmt numFmtId="35" formatCode="_(* #,##0.00_);_(* \(#,##0.00\);_(* &quot;-&quot;??_);_(@_)"/>
    </dxf>
    <dxf>
      <numFmt numFmtId="35" formatCode="_(* #,##0.00_);_(* \(#,##0.00\);_(* &quot;-&quot;??_);_(@_)"/>
    </dxf>
    <dxf>
      <fill>
        <patternFill patternType="solid">
          <bgColor rgb="FF0070C0"/>
        </patternFill>
      </fill>
    </dxf>
    <dxf>
      <fill>
        <patternFill>
          <bgColor rgb="FF0070C0"/>
        </patternFill>
      </fill>
    </dxf>
    <dxf>
      <fill>
        <patternFill>
          <bgColor rgb="FF0070C0"/>
        </patternFill>
      </fill>
    </dxf>
    <dxf>
      <font>
        <color theme="0"/>
      </font>
    </dxf>
    <dxf>
      <font>
        <color theme="0"/>
      </font>
    </dxf>
    <dxf>
      <font>
        <sz val="9"/>
      </font>
    </dxf>
    <dxf>
      <font>
        <sz val="9"/>
      </font>
    </dxf>
    <dxf>
      <fill>
        <patternFill patternType="solid">
          <bgColor rgb="FF0070C0"/>
        </patternFill>
      </fill>
    </dxf>
    <dxf>
      <font>
        <color theme="0"/>
      </font>
    </dxf>
    <dxf>
      <border>
        <left/>
        <right/>
        <top/>
        <bottom/>
        <vertical/>
      </border>
    </dxf>
    <dxf>
      <border>
        <left/>
        <right/>
        <top/>
        <bottom/>
        <vertical/>
      </border>
    </dxf>
    <dxf>
      <numFmt numFmtId="35" formatCode="_(* #,##0.00_);_(* \(#,##0.00\);_(* &quot;-&quot;??_);_(@_)"/>
    </dxf>
    <dxf>
      <numFmt numFmtId="35" formatCode="_(* #,##0.00_);_(* \(#,##0.00\);_(* &quot;-&quot;??_);_(@_)"/>
    </dxf>
    <dxf>
      <numFmt numFmtId="164" formatCode="_(* #,##0_);_(* \(#,##0\);_(* &quot;-&quot;??_);_(@_)"/>
    </dxf>
    <dxf>
      <numFmt numFmtId="165" formatCode="_(&quot;$&quot;* #,##0_);_(&quot;$&quot;* \(#,##0\);_(&quot;$&quot;* &quot;-&quot;??_);_(@_)"/>
    </dxf>
    <dxf>
      <font>
        <b/>
      </font>
    </dxf>
    <dxf>
      <numFmt numFmtId="35" formatCode="_(* #,##0.00_);_(* \(#,##0.00\);_(* &quot;-&quot;??_);_(@_)"/>
    </dxf>
    <dxf>
      <numFmt numFmtId="35" formatCode="_(* #,##0.00_);_(* \(#,##0.00\);_(* &quot;-&quot;??_);_(@_)"/>
    </dxf>
    <dxf>
      <numFmt numFmtId="35" formatCode="_(* #,##0.00_);_(* \(#,##0.00\);_(* &quot;-&quot;??_);_(@_)"/>
    </dxf>
    <dxf>
      <fill>
        <patternFill patternType="solid">
          <bgColor rgb="FF0070C0"/>
        </patternFill>
      </fill>
    </dxf>
    <dxf>
      <fill>
        <patternFill>
          <bgColor rgb="FF0070C0"/>
        </patternFill>
      </fill>
    </dxf>
    <dxf>
      <fill>
        <patternFill>
          <bgColor rgb="FF0070C0"/>
        </patternFill>
      </fill>
    </dxf>
    <dxf>
      <font>
        <color theme="0"/>
      </font>
    </dxf>
    <dxf>
      <font>
        <color theme="0"/>
      </font>
    </dxf>
    <dxf>
      <font>
        <sz val="9"/>
      </font>
    </dxf>
    <dxf>
      <font>
        <sz val="9"/>
      </font>
    </dxf>
    <dxf>
      <fill>
        <patternFill patternType="solid">
          <bgColor rgb="FF0070C0"/>
        </patternFill>
      </fill>
    </dxf>
    <dxf>
      <font>
        <color theme="0"/>
      </font>
    </dxf>
    <dxf>
      <border>
        <left/>
        <right/>
        <top/>
        <bottom/>
        <vertical/>
      </border>
    </dxf>
    <dxf>
      <border>
        <left/>
        <right/>
        <top/>
        <bottom/>
        <vertical/>
      </border>
    </dxf>
    <dxf>
      <numFmt numFmtId="35" formatCode="_(* #,##0.00_);_(* \(#,##0.00\);_(* &quot;-&quot;??_);_(@_)"/>
    </dxf>
    <dxf>
      <numFmt numFmtId="35" formatCode="_(* #,##0.00_);_(* \(#,##0.00\);_(* &quot;-&quot;??_);_(@_)"/>
    </dxf>
    <dxf>
      <numFmt numFmtId="164" formatCode="_(* #,##0_);_(* \(#,##0\);_(* &quot;-&quot;??_);_(@_)"/>
    </dxf>
    <dxf>
      <numFmt numFmtId="165" formatCode="_(&quot;$&quot;* #,##0_);_(&quot;$&quot;* \(#,##0\);_(&quot;$&quot;* &quot;-&quot;??_);_(@_)"/>
    </dxf>
    <dxf>
      <font>
        <b/>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9" formatCode="m/d/yyyy"/>
    </dxf>
    <dxf>
      <numFmt numFmtId="35" formatCode="_(* #,##0.00_);_(* \(#,##0.00\);_(* &quot;-&quot;??_);_(@_)"/>
    </dxf>
    <dxf>
      <numFmt numFmtId="35" formatCode="_(* #,##0.00_);_(* \(#,##0.00\);_(* &quot;-&quot;??_);_(@_)"/>
    </dxf>
    <dxf>
      <font>
        <b/>
      </font>
    </dxf>
    <dxf>
      <numFmt numFmtId="165" formatCode="_(&quot;$&quot;* #,##0_);_(&quot;$&quot;* \(#,##0\);_(&quot;$&quot;* &quot;-&quot;??_);_(@_)"/>
    </dxf>
    <dxf>
      <numFmt numFmtId="164" formatCode="_(* #,##0_);_(* \(#,##0\);_(* &quot;-&quot;??_);_(@_)"/>
    </dxf>
    <dxf>
      <numFmt numFmtId="35" formatCode="_(* #,##0.00_);_(* \(#,##0.00\);_(* &quot;-&quot;??_);_(@_)"/>
    </dxf>
    <dxf>
      <border>
        <left/>
        <right/>
        <top/>
        <bottom/>
        <vertical/>
      </border>
    </dxf>
    <dxf>
      <border>
        <left/>
        <right/>
        <top/>
        <bottom/>
        <vertical/>
      </border>
    </dxf>
    <dxf>
      <font>
        <color theme="0"/>
      </font>
    </dxf>
    <dxf>
      <fill>
        <patternFill patternType="solid">
          <bgColor rgb="FF0070C0"/>
        </patternFill>
      </fill>
    </dxf>
    <dxf>
      <font>
        <sz val="9"/>
      </font>
    </dxf>
    <dxf>
      <font>
        <sz val="9"/>
      </font>
    </dxf>
    <dxf>
      <font>
        <color theme="0"/>
      </font>
    </dxf>
    <dxf>
      <font>
        <color theme="0"/>
      </font>
    </dxf>
    <dxf>
      <fill>
        <patternFill>
          <bgColor rgb="FF0070C0"/>
        </patternFill>
      </fill>
    </dxf>
    <dxf>
      <fill>
        <patternFill>
          <bgColor rgb="FF0070C0"/>
        </patternFill>
      </fill>
    </dxf>
    <dxf>
      <fill>
        <patternFill patternType="solid">
          <bgColor rgb="FF0070C0"/>
        </patternFill>
      </fill>
    </dxf>
    <dxf>
      <numFmt numFmtId="35" formatCode="_(* #,##0.00_);_(* \(#,##0.00\);_(* &quot;-&quot;??_);_(@_)"/>
    </dxf>
  </dxfs>
  <tableStyles count="0" defaultTableStyle="TableStyleMedium2" defaultPivotStyle="PivotStyleLight16"/>
  <colors>
    <mruColors>
      <color rgb="FFF2EF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06.xlsx]Calculation!PivotTable3</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Candara" panose="020E0502030303020204" pitchFamily="34" charset="0"/>
                <a:ea typeface="+mn-ea"/>
                <a:cs typeface="+mn-cs"/>
              </a:defRPr>
            </a:pPr>
            <a:r>
              <a:rPr lang="en-US" b="1">
                <a:solidFill>
                  <a:schemeClr val="tx1"/>
                </a:solidFill>
                <a:latin typeface="Candara" panose="020E0502030303020204" pitchFamily="34" charset="0"/>
              </a:rPr>
              <a:t>Deals By Month</a:t>
            </a:r>
          </a:p>
          <a:p>
            <a:pPr>
              <a:defRPr b="1">
                <a:solidFill>
                  <a:schemeClr val="tx1"/>
                </a:solidFill>
                <a:latin typeface="Candara" panose="020E0502030303020204" pitchFamily="34" charset="0"/>
              </a:defRPr>
            </a:pPr>
            <a:endParaRPr lang="en-US" b="1">
              <a:solidFill>
                <a:schemeClr val="tx1"/>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andara" panose="020E0502030303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Calculation!$A$14:$A$25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Calculation!$B$14:$B$25</c:f>
              <c:numCache>
                <c:formatCode>_(* #,##0.00_);_(* \(#,##0.00\);_(* "-"??_);_(@_)</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0-F512-47A2-9F8A-DEEE46793980}"/>
            </c:ext>
          </c:extLst>
        </c:ser>
        <c:dLbls>
          <c:dLblPos val="inEnd"/>
          <c:showLegendKey val="0"/>
          <c:showVal val="1"/>
          <c:showCatName val="0"/>
          <c:showSerName val="0"/>
          <c:showPercent val="0"/>
          <c:showBubbleSize val="0"/>
        </c:dLbls>
        <c:gapWidth val="43"/>
        <c:axId val="277079679"/>
        <c:axId val="2083096015"/>
      </c:barChart>
      <c:catAx>
        <c:axId val="277079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83096015"/>
        <c:crosses val="autoZero"/>
        <c:auto val="1"/>
        <c:lblAlgn val="ctr"/>
        <c:lblOffset val="100"/>
        <c:noMultiLvlLbl val="0"/>
      </c:catAx>
      <c:valAx>
        <c:axId val="2083096015"/>
        <c:scaling>
          <c:orientation val="minMax"/>
        </c:scaling>
        <c:delete val="1"/>
        <c:axPos val="b"/>
        <c:numFmt formatCode="_(* #,##0.00_);_(* \(#,##0.00\);_(* &quot;-&quot;??_);_(@_)" sourceLinked="1"/>
        <c:majorTickMark val="none"/>
        <c:minorTickMark val="none"/>
        <c:tickLblPos val="nextTo"/>
        <c:crossAx val="27707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Service Level By Division</cx:v>
        </cx:txData>
      </cx:tx>
      <cx:txPr>
        <a:bodyPr spcFirstLastPara="1" vertOverflow="ellipsis" horzOverflow="overflow" wrap="square" lIns="0" tIns="0" rIns="0" bIns="0" anchor="ctr" anchorCtr="1"/>
        <a:lstStyle/>
        <a:p>
          <a:pPr algn="ctr" rtl="0">
            <a:defRPr b="1">
              <a:solidFill>
                <a:schemeClr val="tx1"/>
              </a:solidFill>
              <a:latin typeface="Century" panose="02040604050505020304" pitchFamily="18" charset="0"/>
              <a:ea typeface="Century" panose="02040604050505020304" pitchFamily="18" charset="0"/>
              <a:cs typeface="Century" panose="02040604050505020304" pitchFamily="18" charset="0"/>
            </a:defRPr>
          </a:pPr>
          <a:r>
            <a:rPr lang="en-US" sz="1400" b="1" i="0" u="none" strike="noStrike" baseline="0">
              <a:solidFill>
                <a:schemeClr val="tx1"/>
              </a:solidFill>
              <a:latin typeface="Century" panose="02040604050505020304" pitchFamily="18" charset="0"/>
            </a:rPr>
            <a:t>Service Level By Division</a:t>
          </a:r>
        </a:p>
      </cx:txPr>
    </cx:title>
    <cx:plotArea>
      <cx:plotAreaRegion>
        <cx:plotSurface>
          <cx:spPr>
            <a:noFill/>
          </cx:spPr>
        </cx:plotSurface>
        <cx:series layoutId="regionMap" uniqueId="{CADD2EA9-74AC-4F2D-B4A3-D26B8643B3A6}">
          <cx:dataLabels>
            <cx:txPr>
              <a:bodyPr spcFirstLastPara="1" vertOverflow="ellipsis" horzOverflow="overflow" wrap="square" lIns="0" tIns="0" rIns="0" bIns="0" anchor="ctr" anchorCtr="1"/>
              <a:lstStyle/>
              <a:p>
                <a:pPr algn="ctr" rtl="0">
                  <a:defRPr sz="900" b="1">
                    <a:solidFill>
                      <a:schemeClr val="tx1"/>
                    </a:solidFill>
                  </a:defRPr>
                </a:pPr>
                <a:endParaRPr lang="en-US" sz="900" b="1" i="0" u="none" strike="noStrike" baseline="0">
                  <a:solidFill>
                    <a:schemeClr val="tx1"/>
                  </a:solidFill>
                  <a:latin typeface="Calibri" panose="020F0502020204030204"/>
                </a:endParaRPr>
              </a:p>
            </cx:txPr>
            <cx:visibility seriesName="0" categoryName="1" value="0"/>
            <cx:separator>, </cx:separator>
          </cx:dataLabels>
          <cx:dataId val="0"/>
          <cx:layoutPr>
            <cx:geography cultureLanguage="en-US" cultureRegion="BD" attribution="Powered by Bing">
              <cx:geoCache provider="{E9337A44-BEBE-4D9F-B70C-5C5E7DAFC167}">
                <cx:binary>1HvJctxIsu2vlGn9oIp5aOu6CwA5MDmIFAcNGxgpUYjAFAEgMO7uv70Pe06p1FfK4qNumfWmtdBA
JNIjwt2PHz8e+uen+R+fqsf77re5rpr+H5/mP16ZEPw/fv+9/2Qe6/v+dW0/da53X8LrT67+3X35
Yj89/v65u59sk/9OEGa/fzL3XXicX/3XP+Hb8kd35j7dB+uaq+GxW94+9kMV+heePfvot09uaMLT
6zl80x+v4vsmr+4/P/bm1W+PTbBhuVn84x+vfvrYq99+P/6yvxj+rYK1heEzvEvoayUZRZpT/e3X
q98q1+R/PtboNeGCSKXVt6fqu+mL+xpe/98t6euC7j9/7h77/rc///z53Z+28PMj27vk2zkk7mnF
cfp1i7//fM7/9c+jH8Cmj37ygyuOT+hXj2DRtW1S24fOfgr4j1fXS2Uew/ez+OaGnz7zd93AXkvM
CUIMP+sG/FoIgRVlEn39Jb+b/uaGXy/neRd8f++npf/P7v7TvBLfd7a/r76fzb/BLeQ1o1wISp53
C2QHpZAe9M/HR275up7/+98vLuh5x/zPm0eu+Z8H/2nOSYwN4T4HbPn3+kdiKsX/N22UIpQz+Se4
HfknMfchuLy7r19a0vMe+vHdIx/9+Og/zUupuS/vXzqNv1le2GskhVRS8+O6ggnmXGP2DdDId5vf
AO2Xy3jeKX++duSPP3/6n+aKt1Du/dB9P5h/A5rx14pSOG8snysySn839c0Hf9r/LbWj7YGAfH/6
3EKed8dfv+HIM3/9wL/BST8Tgx+5Duyfa0LYd7iGDf/AdZR+jRGhhLM/YxJ/3/F/9nkc0aBfEKOj
T//AjP5FI9P7cL/5yj//10+/xgfQ4qNXX6Kx3xjuyecnjvoDm3r6hj9f++aW+C+s+Ps7j/d9+OOV
Jq+5lgyKtFBYMCQAaqbHpydKvUZEKSYkQ5IQwcWr3xrXBQMmxWtBNAFajBWjRGCoHL0bvj7CrzHj
VCH0RPyxQORfpP/SVQsUuH8d1J///q0Z6ktnm9D/8QpM+G+felqlZAIyEb4fShQWsBIMi/Of7t9C
XwEfxv+nzskiTKTtfi0c2/bzUuxyQ2Ui1qba5bRk2x/O5hl7sO6f7AF/pIgzDpCsMFX6yF5DcdmP
TZPvl0zNCcN9dsNGU58s61icL8qgM1JVWfyyUcD6vxjFSGAgsEpphsGfP26S9GoaRsfyfWh5dNZX
pUlxI2gcwV9/sT9I4WNTDJKYE8oQUDMB/cqPppqxW1YviN0vQ12c6ZVFqUGaxRkqy22HOYttkP3u
69+MQtPtyzs9Mq9gkwoRDhCrMNbg0Z/N85KtU8VVty/DMMRTVdNtcGt0SUwfLXHrujVWwbCLwqr2
oaGq371sHx8dNSyAUMwxk0wCK4LA/nkB5TTybBC43WfDk5PLmdwOfWQ/lqOtU7PYdYqzzrBTT9o0
r9ph19YND0k+E2GTMfT4Woph3ik8TO+nhVb5t27sG+Y+E39H8f51fQQSRzPCgVWjo/VZx6EzrVC7
b5UZ4qpuxrTns9irapw3IW+iy18cCID2jwHxZFBxpDCXWinE+FHAR11QYQxDv49WMBszPBAcw86E
2qDMsbfGtcXboivTEplsUysSsrgc5HI2u7IMm5dXQ47ST3FotelXxMEUY3acfvUgXRcNWbkfSc/W
2He5dvEoSX9oCZZzTDtTnI1eu/d28J8FYMqun8S66auFFfGQKfOWrhn6yBzpbEznLu+Shlp2l4fB
n3SLmX2ce4nHZA5YuXhSkHAO8OWsbtropDZqqhKSV2SbjS47l7hGH1/eIn3y4A+I9nWLmjAMXn7K
w+MM9CFgwEJb77mfFI7Xpu1pCnLLfFt1okyc9POd022B4mXA+gJVvty2VZ2fdQPrd2XGw4mrs/5h
xDy6XMNcXVd8QB9nvYj9MhbVdVFi/0E5np3Ifig+U1yFxK2B3A9rpPN4bsKEkpaM9I71Perivln7
86kex02b6+r65e0+JfRfdiuhRcSCYiTVEd5E45SVKjLVfh1WFouBlUm/8Ch52cpx1kDYYATJQjAV
mkHR+DmrFS/lMMO69rLs8veRgcjJQn8ydit/VCWa/x5eP7kQI67wE5BRLMhTTv1QlOTct2btwByt
XX5eOnuAhc2JpvP4Czh4Jh+gMDyVWAgZIckTnP1gqZ5Jk9O+r/bTmOfnlW7m20Kg6nqN2v4wUFtd
19jYty+f5jFIP20PmABwAawBgsjRaVLQulAVmnofWMgfQjEptZFlC5lYcIdpLI2gd4ue/YcyVJBE
HY9+5dBjmH5aAodFSGhOtYBK8fO+o0nIYkSl33dORqnlyEHcDI1dEsLr7Pzl/T4TPeBJBS7VghCN
j4yNtAC5s8y7vY9kdc3sBEhrJ7lzwDZiU4Xw6WV7+Cnoj5KCUujvCEAdhC05SgrHUWFbXbs9att1
TdgoedgY6UIfs+DGOlmjcr3EMm9SExVZnmZO2bOFdE0Tj8aq4sRxos+bzPYPg+iGh5r4kcVmyuh2
siI6y1jwH15e9LMeAZGNaUBmhI4rN6lFKYhRfr/YnMdlBMwkk1VzqnPW3rxs6rmgF0popKAFJlo8
YcoPQd8o2/YtbAnoUJedY9Lj86Gfp0NEWnVgtGxODR3F/mWjz+yPgjuI1EQjIfnTon4wuk6sLUkT
NfuZNmwraZOdL1Mv9g3PorOXTT2TX5Qx/aQba8olO3a/WdpqXbzbZ2EyzbYWRXFW01VtRtb2V0PA
ywmhIeQJHxw/m1Sd/yLgn9srWNcMuDUwMX3ENwe0yimSodnXLB/iOsAO8eL1m8E6ffHyXp8LdYEZ
UyCgS/kXagsEXTyBZb1nULMOc0P7Qy9WqM0KrfQuJ70sUuXW/hC1v3TpM+eMJWSZAHUFqC47iqNW
ldXKJ+H3tkXjjrLMvjXtQttkllV2XqwLYJedyFzFS2cg96oc2NbL238ulEH95JIryfFfXL32KhtH
xf2eGST2ORHiZAoZ2jjbX9V5hHlckepXnO4Z9wJicgIMQwsk5RGlU1RS1PYAnnnB9EUWjcDoJGlr
k1qRFduXd/h0iEdYBuIukQjoo5DQpf2cNx46JFVOyu1b4GoXtu5ux/6XLPUZI6D9Q6xKBaCgyBEr
rjXt+FobQIR8zooY+0gXcZT35d8v7ARB3SEQsbCr45Or+nWMfDT5/Sxadlfavu9j79GcjCVt/C9i
45nUIFBLoacCuQlakqNNdW4qx3kO3R4YOtnVRluSagSMdhWqPjVRG11mgxttMkUCJMl/jbUuv7nn
x676ufME4V7zp81KQICfnRYVUH/D3HT7qhRR2o3sISqg6r1s5JnYpwIUTC6xln+t4TpCrZyRrPdt
xCEMVyANaz73hzxMdtuX7WRjq/NfkZdnijnkumYCdgal6riBWpmZzVJl9T4KDbtryiW6VOvc3ijq
in0h6l9l+JPYcpwAFDpZqhlUDw108OezzLnAdbUKty8orcV+XsasjQsbmS+QDPIWgEFH8aD1dLt6
lV3qZtJ9bKwbxzjnRfvFM1xdTwWBLqBrFrmLfKAqXSbzwJkF7l/yMNEEaIGJg2o13VDTjnvXkv4G
iIt/97LTnsEOhoAM8afaC/rNUW2iAvWBNcjtiY+iMfaVoKlss+hdKPD45m/begJGKAwEfAW9588n
J4nyaiElkFsR5WnA07pdu6jf6Sct4u+b0hQqEFYSTB4rLAtqQ7OQpdp/VTx6JOcEZSpKWWaK/cum
nqSvo4Bg0NqBzACILyiwmJ+3Vds8mtCcQXLNOXTUQdAJ9ALhd7ir0McmkJWnrONufROqBYrPsCjx
GZmyuu6jqSmTCuLsclHjehakr2/ZOuNxAy6xiXGRe3h5teSpGPyM3wwwCJg2yHUAeuLICS1ber4Y
EETqqclP/UT9fSWr6Mz3s+njydr8YUCmuwm8zae4xFmUuI6sV7k07ZtiZXliMApXnQtlUkvoRVw1
jKkRoT8IO6qrSTXzDtlpSLtM1KeTsMMvQBsarp+hFPQCoFJEIM6RJhxO/QjPir4by5JUft+7iCdk
6oYPGejcdYx84+uEdW0W4rEX9cMEfACOvMwt9NdrO40JKHu1jttZKZsoT1u7KfzM5qRT2qjEqIjd
GWWjJp4YcTpxTsh6ZyX1G7esQFxmVs3zXvuKZtvAikhti6zIl41Yyu7eMOXtpkR+LWJo3IYqZmyV
LFbutCwjeYVK0xxamEqcL2zOzvOxa03CeU7eFDmwpmTpZbsm3Qo9+66dgnvgpiqi1GXCpkHqKVYL
y+NhLeQh06W8xSyMsRxYG6/M6U3UzvuM4H4ztzgLSRa56tpWefRZ+YxCaBbV+Cj79e1aNl8QdiTt
F7luzIxju5R6SLzICbTSw3qP5i464QVicSidvKhItML+R3/D1+6zzqQ9p16jPQgKfR0zUB9vDeWV
iGllxAnR/XjeqmgddhVe1UnWFNWb3LTVnkQLuGNqsuimdYt9v5CW8NghK/aGz9EXTnq/UTqwMUal
XcIZt5W+sS3N3jRVX0G8ssZtiOqUT3zwfBt8z9dNtBYsLQZv6ziTYzh3FVRXUB+y8V63tETbceQm
mf30sXczf4BAcEsceL186GZmT/qijYYNdCHlbsioqWLVCb5ppr54C6y5CiDKjB8AO+tPeA7zCWhs
9KyqK3+n83GIFz6Ec9HoLI9LUnrw0WTua5Zd93K803VVT3HDVs22hCkn4iLC85t+qmVczJXu4nVZ
hzFmutc0rWzltgahPpkXW6ZkJSxRDrnLqG36MwsV/J0V5ZKiLrMHFTJ3EtEGbZuaqfNF1w2LGxfU
B8Gi7mTtdZmUkcihTxzfSy/KWNSRORSUfy66kW+zMNN9LSgQcq6u2ezuZQj1voFKcB3GsrvhhaT7
foUmdCBuprHr6vGiHhAr4xxRs+mxGNu4a8kDtCz9laFlGy8jKw8g5ZGTvBXFLY5wtFmhkz1DmdmI
urhZs7FIBzuFA+i1XZOIaKrSpiBrLPA6bZxWYmP7bDWJK+cWDkloa7bdUCzbDLciLlWh8jg3IGfH
eRiHYRPQ7NtYywo6KLWgkCVK91UCRWyHQ6Qe5taW0OowtRWNWZNyznjiG4MTv6o6LdcqPxvWFqVS
mvHcGEpDvNpqTHOh8cm64kXGS4vUKWUkShrLhhiPXH0cpwLAulFD2vhh6BOIcXxSd4WPYj7S6E4t
5jys2fqumxe/m2eLH21rmi9ZzvPbCAn3sLZXWSQJ1HlAzh3WQ77NPCvezGvmz2RjDUrKOliZQMfj
Ei5a+LecbMqn2u+UnfyF1Bg9+M7O+8bk82FaI/S2Z1X+ccAR2YzV1Jwsfl4PbBQy1h2HMjh5PL5t
w0gexVCjpAD1Ne3RHLa8Ie96REElj5oWhhHdHFYN8gNaTkvJJhMvuYfjcs4PifCtvM2maHjHSmjz
8kbwccMX3tRboM/jfg5k+aTk3PTJOgObKSfUVhvpR1HFdTHkcZsv9M3CFUA2r9l81WR6fTdYgve8
mUk6y2H0l5Y2EWB3O0cPuFjsrkLEbAo71nfeGHU6o7JJ2g5iLWXjOqcNzboyQdNE+2RsyrAzjS02
2RzZPQMyc+A6628ibngXt5xTDkFM/CVvqImSxYx4iMs6Y9schRJvcL/KJuZTO9ot8CF9Nte63qJh
HVKbe3rDvc5AnKFReQLOI+3WDX7c5WVdfxbQrFyPjNKHvvkyTyWMGFZWPYI2STfSytNyOgsAkKku
GL/qKYDvLDOZmDVySVUhed3iWp+GMKhY5qIpYRUjgLmhbXYvxl6/Cb5oDpMb20PwLMpiydHwXkz1
fI7rIBI+mlPe5dW+nguUNJiWW9rhKlm0nBLcdu0O0nbYyogMm3VlsFdOhnSuxmiLa8FO2iU8VRDg
EB8nIVCZtCDPXdt+0OX7KiqKbSlJ2GM21RsIfF/HbVgeeeSH82iu2MlSLf4DFxKGJmYorojn3a5X
0l9XhE+bWkbm88Ka9c5PRbVp22YXCKmuBsnu+s40MYqmKV2neUaxIfMC6OUy3CdDWcBOM2ivP7CK
sfNB8fxQ00Eka15OPp7JYk74QtEUe9BwiyRaaTj1rLM3Td3gMu76qDyrRza9aRfRucMQOCcbeIGn
JJ9HcIKp8quVFTah3SA2deSgssH4vIAlcXtDJom2WU7nm85FapcZNW4UhyGSJP4iYiPWsfQ5KN2N
Dep6lU4sKYiaWRRXwqsbI+f6yoXMt4knkbG7KWBgp72kjwZ1+ZZVtEdps7T2SmBu0qo2LY69cXmc
LdqfcF66FE6/OmMo2i8wbnigIPeczPVYgJLB+LgT2aS71IxddTYua//ZZK0xyep5vqYVaz3MQCZo
z9JcWrKZ9TokdV41X6powBdeGH476oaTOOAxPxsrS6vYelIBmLpxSPtBeLFxjRiuxtyT/aqcOyF1
vsazs+R00UrGOYxuL/xCn0J7WE+7GrYZ9Q7ao9kLHPcCd3HG6H0PfUCioqpJlqjPoNpSVKaTqHLA
WV6/RUyQDePGwzzWt+spANajobrZrMBWTvsmb/euGJv7cc4h4GWeeheNJyFoHTPVjme5haEDLWj1
pg0y34AOvCRqdkXqGX0oxql7hzo+x8U64Pe2V9E+ZPIOe7wmqmxJDCoSCrFBkp7YWc/x4uoyaRpd
7MXqzCYfp5BmDY/2dlp0inFDzzKgCGSaXA2AoEWSA/rFI4e6H8HkJlkA9q9hjFbvirwz52soyhwe
j822lSN9U5aGvqXltF5EfpkAv3QAIVDqt53P+usO5nEhKck8xq5GMEJFizqB2HfvDO2iNExddjcX
bX8VTa7oEuuk29ZPR9TLctlzUgyptKLby27KN7R8D9UPULwhOb5huFyB9i8CChpC0JjgvLHneS9O
MBzyAfXrvTKki2kf1Jb0Jdrjxo1JNrWViaMOdW+B4HwRUe0+jmvTnY6mezdkc/dBdvqh9wtQbQkY
iAF/p5LbtO7wxwxxd0kBFzZNXq9vZRnuoinLtgWJ7JUZ1srGHsj0Lm/rOa5JsyZ4EFM6dDCFHAg0
1p0O9TkSvd4wEdpN1tbdqdI53xpX6W2eTUndF90Jk9aeQxOyW6DAlnFGF7yt2zV/16koP1lq85bR
+qZajE/HPvjD2kRLMrOsOdO0Hp5yIKRtxh4GWz5xu1lsNIHfgGxumtrbD7YR4mCAPKa4E9m+UKtL
29WoTVT00XbupiqeRa0BDOZ+Q+rmiWh250sxdHHThTuNxjkuKR8OSCO/xAhnKsHYFmWMhdVoK7Ms
tSwSt8VSr03so7YwscSeQbphnfRlrjfNEInzogomwasbd2MdRbvVUg8FoJbnhZrrN3PB/SffNGIn
m/l6cBnf4mJFWzPY+t0w5eNugtZnQ9x00+qZwJDH87vK2vK8y/Np05dTeZ5HWqfI7i1rlkOFPDoh
1YQuuiGMO+PcsMdtruJQK5u2ke8Pa53TT5OlaBtE0Sd5K4GcDWq+ZWzR0GVFPpGemQMMeYdNY+hH
W/ExnWm1bqowQYTjrANJwO27uliTgluoiriagSVFtrnQU/CbsuPDhkwte6MclSfYVJ9wb8NdyFq2
B0QfD1kXQDYscLlhA88fpoUXsWgbA3NQWt71Yhjuu0i4K22FfU9GFLOWN7uhVvQ0TFmfwk2RLiZc
j4doxI3e2wa0BMdmv1k87cF31VrGtRmbL0xLm9LF9wAoOzOAzGzRHpHOXGhh2oTlUHRRlEWbyAzt
oVuATZsxG7cSO5SCy6rE+KgDCh5wrCe1o3CmMRQHBVc0RiBKfUgiW/INL7q4KBUB8jkvabRU3bae
yiKhvfZv57LK994CFk512W08TMcTLQF7BPQwaVHV7lyU8wyNqQpRom3ZbHFo220EFwy2UZfTLGZA
7G08FeV4vlStvZRiFKeg0XTbRdAV4lQcOrmoJtV0cm+w5fhNAwxwHwGrO1HlMCRLgI64b/P8bQU9
UwwGpjQo1cUwtu9MrGa1r6Ie1HjkMYBKi2KVrWeVsw9oQeKiatl4Va/FxdgAwR+j9TNrQ5HIujxX
ttExmQj54sxokqFtlqtV8mpLkBHvqV2i08q5lcTLPHAbIzHcZiNpzlpnltTw5iKM40eYCfiY9ehd
U5bjm2hwVToYEsXEi5D0KJ/2Fe6hXyehvPKjg7oNIniMAr5nladT3GVsOOCRWGjM22yHiDWQ7XO5
MSzTdxMmxaYq7KeST+tZ24NembhilYm0MPxgY1h2fDX15xG41TbArYYTTHxxORXOpYQA5koEZCXu
Ohg/Jm3dso9sLFE81VW0yTCpb6O+z05VL9S2zMSS5AsWMDzMhpjM+fIGrow8qNwv6bBabOLOyIey
9S6BvgnvtWHsZuDQ8ja18CkenI7LUBc0tqKSUD6K9aMcwFvYhzXOmc1vndZnuBzmvZKT2039HC4q
tTa3dRMaKCguS0dPy8MEs/BNLxZUwmmJGzFmu8VN/YlmRuycHrv7MORhg7r5wlXtnEQNBDcftL8S
ec0/oaq9I2xqzsZG+sQuc5esarYHXWdiW8hepqWwZNrOoh/Ousz110sZpmSooX9MpmpWVexnW57S
bCmTPDdfVgQTlqGO8g2uBErWZawPKANdNR4bP28DNWSL6nlNi7rYO9yMG69AxyIR1XE+9CypiqHc
w43I9csMjPQsyiTeTGt2HlkarqkozRZGTHAtBq7DpT2W7jPNcpfQNuqBHUDmgYTE61jCgOSygOsB
cKMH0PGdtPO048wfhtK0FyGfyOlYzR912T0aW8it7LDbT7xbtmjVaKenqT7MoxMsrrwYHyO4XtUk
Ue7G20Iv5l2liu4zb78UnYRekzu0J1nTpaQRdSLJWn/IXWtTQsVw6MaJHcp2Hi9XskAJmUQTNiTT
/T4rsDKxCLnYoRqzZH7q5b3J3RZ0u+xtPgF4Zfla7W1oimuornNCfJOlRV7mSebL2cVUMretXIBM
KqN1KWOYQgFhdKX/mNXTvB/akIESVZpNGKyBY8XLgUr90DGCD92ks11Zte0dKNPyzdLMuo5Ngc7g
P+bkZ5OrigQuLDi97WxbIujQOzNtDXQYOAYaHUEd5d7NMVu6ctyI1sGQjbOFVQnOO5TDglo/pT1Z
WmDHMILrUzetcQctyI2b5mbrQKk+kWV5abikG7gTn2/NqqqELWWVFOXabpFbyxO4M4SgcCh/t9Zu
mWMgs3OeQINX0oRU+bIVoSvnmOMBL3FUGLwZrH0LmhVMBEqQmPwCdFDK0gONnkVKxYqTHDXVFsxM
F5nqsx0u7HAxZxVKiFnZpqplguEmViLa8lwO9n5s1gFURBv2DShmW6yjTbuKNsYZAnmi1cPpRHW2
ryZ22U2uA5WmA/ppiL9FI3NJi2YSr9lgo42bsvkdDEdsUnPopB0S7ZcJBl33DsrjVRGNS6KBfSXO
erPDIqfn8N+xyPtGyBJgAZg2jeuaFI8+z/FOZuyj9r7eTLoh8QA3R08wKqsTGeHT3PF3Ta+aE1n3
PrXtcOswLk8rRse9rvs+5S1bN7VW4cMoBqF2SzaFjWcM8LdvGN9NMuPX1czLtKJDu6O+Gs5nuJR2
8JldtoYw85GC6FrGU2dU2vajPydV1m+k7u0Xoqy9iMZW7aDTGlMBjO8wQJSeAjNwe+el3vcsj5Iu
CHao6xUBhw30FiQFfS+VI6edEf05H2d5qXUOA5tJQxQ6BTx8WBq/FT2kLLRTZJtXc7haMysu54WW
8WpA0eF5Nzxxsf/H3Lkt121jW/uJuAs8AeDNviC5TjpbsiTbNywfAYIESIIET0+/B5102lpRW5Wu
+qv+SlcSt2NhEQQmJub4xlzxZT+PEZK2KnSfq9HYJh2SOeLpjDl8IENYeilZBP1WQtUtU+Qv9s4E
Mw4Mu+A2g7zhonCiv8ZhzTLCC3bZDbQtU+N77OiCSp+MB7Y7ZR3qO13cFx9WJpuTYiM58Ub4Tz5q
TPtqrcYEmYR0CK3jiisySJdPtgBhqMp22PskmXclG3QD+HSK0sYw9Ux4aB98G3U3wlnk3LWaVpHN
iGRNmqyepWkiqkSmQpkSBpcFP9vSUYt84WK+plDB8nCt56+DVB42j6wP1eL7KM0263S7ep591xRV
cFkXpn2vfFEhmzAL7oJj1e46ScfLik5EZUINrsrZmjCWrpXvf5vK2l4pMekvRFOU5iWd1d24SGMy
srYlvdKDQRLAu0Zd9XyA2l91jsuczWXwHJVj96N3lR2yxR/NZaA4DuZZMe6lngmKOzOVDkcvbtxX
xIEOvLbMeEHmTzE9dh1h35YSBO2KuPhDLI3gl8jD6NEPI5yrs+fLInOJP5Isrqy5bKmJUSnqve69
J2T0lNR6+EpM26JaWAjFEcOgkU4IVZ9cT8Z81SM+rlNeeSUceK8KFp6nOqm6HxHo/E94ySztgzKx
uynwotRJ1bY5FErBs4QOtUv70AMGBLiQ73tc6VC/r4JjIcPgoa1tf7NIEmqcjOViUhE00bXsNbSq
iQw98qUIRfJcug0LTsT8aFYOYLJrNDjd6OfnCosxzvpWEbVHgtl97Jc5TtKyGvH3dkDEm8yMJ4HP
4jYEXnIdO2lRHklkcVxmNj82RVCTw6SX5ELZde3SgLqquxaGkTAF61P2D6qdAEwURIgD05BJy3GU
/cOo2srfR1pFe608I/OxCeuHkBhRnWpeyDIbRm7DnFTWltmqTZguRRKhshFg1xdOhTbve4hCOBAk
oEm9gGdLeKEv2dTXDx1Xw6F1eo53A3OYkH7pMaU+cCOB9L/1oz1WqfL3EMyQWege0m3VQ/FKW4Hq
RlawtX5ASUN8QBkeN+jEa6O98yfyqelZf4H6udonWtVPZFZjlSYxdKbaa4ZDYZbhaz+54cZf5uWC
xsqVlwnk3hsUZPHjqx6gzroplnxIsE5xoy+u5wYLMwOgDxAvce1HapCZJEqJawY2d190ozrygkLG
NWwRX3xPqKt4UWAaRjDB485SFJ4yJXFB2lUoWo5ZS5Khycm4NA9Mt7PKyr5adD6UDqtRFDF0yp7j
X21YlFcOpfEnVATKMrNlaxEs6n7+3CRx915NZviqxiJgKNGF3mcvAJYZN2H3HlVND5e7paF5yauQ
pSCcp0dLQvvcJShYVL7hT7gz0BsWinlN6yq5bixFftDVPcUhbzyash7xCrIp8vEi2KiJuhVur6QC
LdbHQUZmD3nlgEB6g30w6GxGcbbKlKvBMIb+Ivo8aAuIBy7koTg4NpEPbV2VPKsHEICoYGFl2VFF
TxwVepMWXYgX0akYooQlNV5mpdrLsQSeGy62L+5BWODcRTFY35agW/Nu5PI6qZP6LhlMUe/9AnXV
1Jux6Ve8bxRA9TLvQDAs8gKAWPwUdhqLoKftxzoY6DcaSnUlWxGgDLlMCA9kAPU4eBHTaY2buYFK
VKoFGgPB5qmbjVNR7Rq5PK7j5L2UHpY8S7ACvbbDSzAOytG+jxxoq1HF4ZqagAO/GhNfH1Gjmh49
XqojAeBwG0IweIA86rJ6wsLFsVBcS0brhyVm3fsq4bK/KOOefcNlZ9J5Mw7YG7BLIyqJcPUAqXoN
MrMBON0BebRQ+yYqgiZbUUf8UC9rgDyraYP+BEeKvMdR1NGc26pQJ7o4dbScCXslsD90NkHi+CRr
LO0K6tWNqbA7l7ip9k1bI+pWi/gAdQrTyfxgMbdTzxckHVKsOwLFSO1/CtcOANqPlogm2DXFiHBP
2xBLuFPb/h5aXHRu+IZ5m6Wv9hvMEuOSbUyw86sJ8R6D4Icmy/RchwnKwlMS2IchXCZIUYUa9mqL
zAYHwD5Z5/mKxIXIEtO096Y0M5Qjf5h3SOpxAlUUv42KMzkEyizXlHCLOQD3e9ezook/VbWtS1wh
JUURFXX1rUKFlwRT/nBojMRlyGpNebYEita3cpjHQzd0zYl4bXNKGo9cDKvEu8Ah19IMLxhFbmb7
cB/P+Hsu1wqxfSJlcVvHFDGyXEPEubhoEERI54VPuFKSQ63aLo+FJ+8t1vdtN1fF9QR7ym6Q8Xj0
hA+xbEZOnelmxSQtQamHSzY2/ZIzY1BpNR4vvItFk3pJmwYLLhjjMMrGRY2HIIDmmpuqQ7JNUCU9
SMg1VxBMV56qsEIkMbDaKyimNfDmwXXv59bHXjSWJrdjO4455oEeiy7xsirUtssn21goIn180UBP
EGnIgRUFfhu/j7C6D1XvaYG8rIk/1zhQkCX7a3dsxXSttO3HK0ihOLIGCsjYRKD/kDyoYzKr8OjU
HO+ViLFURii0WcuhfEwGhGNK5DI9RmSgyBstDqmYh+Abw6V+QKLlqRRpDxbvoBJolLLlgcwmVuPA
RHYYXOIa726XbhzSqZXRnMq+B8avZv8ONapb50dIWAzxU2pwNnjeDAS6nb0L56b+AqUJPE0sw6LP
UBr3jnPdIQXUbESM90zfI1QNcST+ANX+dLL9iYv9Ycr62rSLLQVox5+OtL9++b/X/+rw8LNrwL//
/62dw79/dfjebKaz/rf/0ftG43/n/8n2af76QRj9z0+32dle/OJvxrr/YJ37o6fEf/jNF766F57L
f1kaN/cZyGxYcDf8+C+27m/uuhdG3Jd/6E97nY8OETDXEOaDrwFPDzZl+sNel/xPkGwtCxAhwBvG
IWwE/7LXod0BDGgA/wEhxkCk8If+Za8LYNIEZ0ZgC0goEEX2T+x1Z6wSLtYwQcFXEEXwnmFtndE/
5Vg3AarM9shJ8yWoKmy90l60vPrsl80hUeafcVg/x+PomIEZwdEKw+FLNgoJB0pHogTzGCOLd5NJ
PgKypAeUz+c3yOMzxhFDYQBY3/0g2tA8fvZoHZn4WK5xd1w10gw1Jajnl/E/M578MQhQQ1hPeBz/
bf7aVTSstro7BkGRDzb4RFEI8El4oxmC7S8L689d+Bto84+xWByBgCWMYA28nDsLEVxEYwNSywl7
y+CZzP2aqNN/Mwpcn1gRBG7EbcX8wsEjswobz+u7Y9LJPdMjci7ZjG88yjb3v0BnPx8FfQkCEiaw
mOBVvxykZhq1thLQGTQOe7P23Xdf6+qOBHP1xip4fSR0qIBpBV1czhnDIeiWhk9jh/jcXk1tmbG5
kWkfdc//fNoAP/81zhkFugw0XprOdcdSrteSF1tUtoffj+G/tqSxAEDugnULAO+/nDZlejfr7QDz
ZoAv4XM974v+MDTXPruZ23YX42Yt7T3+Mcoax83eJWL3+8/wykeIgo3fguJBtq318iM0hW3MCkrt
yBPfpLXzoFkDovlvBsGyANwDgfQnYfnLGgyYBi2RzN0RNerlUq3GpR5z9J/hp9sixIaFt3jzotIw
PpvN2S4evKB4ZVGCQ7aY3kFbuaipfWOtvzpjvwyz/f4vDzMHo88mMWBlCPV1LrrTWLHyv5mwX8Y4
i3XKAo80Fo9CZ5HPxuHataAk+vu3si3hs037Yr7Olnin46aokS4fnd+iZGdNn4qyTS6GQkXgYxY/
//14L6FOONK39wOXCtzpcEvBkn02cTypFxt4eCgQZDreeeH12D93+nZZzW01v3EyvfZ0QHZhyNnG
Cs8DBQWmvfh918F0FFW30qryNPMqSL2u++64JW8M90pcQoTFXwFoZFiczvYR8ZJpdQV8vioe20NR
dX42bqAWgwtAv/Hi/J+B4eWrQyMR2JtCBF2428/jbQdRxRMAfAFKlMLlQxP5JzFPEeAYUGvTIWwm
1HnlQNiU+ob579wUg7FY3bNlod55iW2eQrlInTW89keUfRf9BHMCh2ENvF6Eq63vcHmy4WMLFfq0
zkN3ckXBD6w3i5920zrlc5MYOFErxvZSu/ZJuShKA8Hctd+VU1rK4WMxN6NIuZoBhsyle1po+X1y
JN6NBUXavtQXaoyHOANF6VLF1i9yaoc0QeHtPqC+gDBU4AJUt+OjUJAPxECLNO6OYzemtD74rfyo
UKDqk2O9MLmLxg4GoH7A2KzWO6DO/H1Q0CSr6dSKNKbdxw4iGiS1QnePQnoxLvoLyuPRMEN9rtqH
birK6y7qv3kwKy/dfg6Sgx4ItJcmvjdxx9M4qFGHGso7oe/L4cqaJLpaC1o51GBWSnN8tB7o5Zq0
9NR3Pfs4y+F70Dg4He3g44dqFCPSoFfJN7JCidDUHEWZfIwWVhwa6NYhXAFhdwkptj+BVPtS6bCC
RDxOWu/DomV12pGAxRuEiptt5E9wvStc1sLRM9nsmadqkhDlS1BbNsmjEqQt5TVYG6mZHnI/ossF
HArTM+mGPiPbNq8UsRcApYGusandobyY7NrJLVd8mOa0BlWUykKwT0tJaAoKZg+Zt/4auKLZh7po
ct42gUvDZmiDLJxqvuQrwTXGR3Q5dEW1fumjATo4blXherAx74e094X7xHsfigwrVcMzBbjPXsFy
JPdKt24vxbTswNmMj3xpzCk0/eBnADzImNZx3b5rI7/5JBZUerJiLXGpC+JZ3UNHbJ7Vav3HhkgQ
SxyG209V4Xv1xTw57xMqvDFPaQwMYUCHhjAr5UTfoTpU5GtLexDvsZwvqNe2pwlmm2/hsIZHyt0+
mBIfROiE28ygQMJG9Ma4dtJQZwGYRVXvX3SLnQCrEXXZVcPyUaoRt1mzLPcsrmYB2lwAQ4ChvV5O
LAHWkK6wRA45IMxJpaHkc5Uar1fxG8EC3P/LOM/hbObokoBg6PuwCMVnh4mBeSzxtmAhAgfJWZdA
k4NeRqDRFnoa1lX7qYzlVS+Ad1dxcjFbHvxQ8NbkIMHEdQjCMF3jQRxQZSZpbwu7D70aEopVodoU
g1tabUb0yFxOfSig8fIQYpa4dwy8GIeRP5iGvZPuluBu30XvurkDOMJlmTqvzWe+3rb1nPOlforG
z4vrruDaqjI4xL6O9YCirfX1qRnAV4C1W6wGYjMON5Vto8txE1X9Ji53w1TXGdF1Q3aUyHvphQD/
Z3gi4yExD8Y5c9BC9Dor9ewVMGW0+gB0PLju27lPu8WPLies62v4P+DRsTbKVG2/GNb3Nk2IbrKC
qCCLpx4SHfLpKzUn/FiEejxYdPX4YsdafxykBsAT0wIlkQUYgKqg02Ih1gdQ8Mn9BIuQ8t0pKf1v
C5m8eQ//5HOoSfTgvNnbGOIkWwN1Vwuit3ofVIwWuPewEpKR0ahLXwfNZ9fIgKcTa8mndSQT+J+2
PRak9q+GdRqnnUJt/otwpT1w64s7VQfLoV0M/Ear7pY1DS0TY9rVHmFZMgr1pUSIv4JnbQAWI5pj
tKx+HkTWPcwAhC4NiB6XEcUXZPdM3ADCVQ7cDhR2uybz51r35HPjqvFuKZly+6VJwpsEwNudlsrc
qsYBZ6hQ0wTqSYKBpcM4kB1pYQrI8MnDB8Pg4Us7yh/6KWZZ6JHkMIf+elnStXzSpU1q9BiARz8N
zBjfx6aI7oN5bm8bA6SwBusMMMNV2QxEt0s1aeyu5HSA7IU/uE6LD9qvbc0eXvfqqg7n8q5UZkg1
nVCGCSsIlVW4qS2Fj3rUGqw+FpAZgP8kiKTL9GXsFJCIjh1KBQ1C9Tp6ckudPHgOKLqlC/rWJKG4
Ml5lbjoLIdzr1/WaephP63H5wYmixISIT2STtV08fpWaqyfal8EhJj2BwtNjSwKPGA+FRVMMZ8bH
nxR1M7jLtlR0V9XBfPKmqjxKz3kHtCqoPoajqi5xjV0lqESh4HspRYq0+LuAFekmcp27X+sO7Mvg
AvGxYjWSyBhkIorQT5MrPi/LsE1MArwsMOyok2a5KGoHZbjh8rGafX2pkSHsQiAJp9arwe7bhe+K
0eN5aFd5JOPAUHBjSOZHgF8j5hmE/7solHsf/LhMyxE2Hrhypmlfc0Z3gDLoM58a+alvEfLp6mVj
57E9B0T9NEUgjT1vghBUUrNjs0fyMYFN4CcqXIHmTGNpD3QYN2QceKQs/FuFeHcr25DeSr8O0gkM
842QBCEoScp3LdwWqedavltF4q6LsqLZZuAVaRLBghFo7e1XDheFv4Z4M8T2UGLiqqsu+5GCTI6T
geWg0ykQoEDsMP/iQFu/u8E2b/OGrF/G2bolRdOIBvaVSpw0fvydF5jiqU/KooIFxQ1wRQK6C+EM
oymBAvzECjHhEKqAoKZg6uPPISrJNOtqX4IINpHKLPoIfOurfrn00Msjxe8azA0qOaCZkqb7aqNE
X9RB5KF8LTwoVNSWeb+CaQzCmwoGoFNCFop0wbA70gSI66KPE5KOA0dJsZZRuFuSpjz4I1uXnc+N
zRIcfN+xtoadMg30/mSF3Cs6UJKkVt9F5YNvsoEp0ybmCM09kV87Wq97JJby2ltLOFxWEpvUn/oi
M5X0Upy6wSdTh981egtclh6t9/DN1vfdIGG+SZzRsKrIWqeWhsN+wg7LIWaFYBCaqpOpgex57GPY
S2AAkPt1Ff0jHDv8BI1uvVQz9S6VYWOul9rtKVpYHCs79Tvw9c3B2JpnQy/MRQMcPq+JndLOt8M7
Ap/+k+fB+JUuDJpKz+v56I29vZ+0F+3QKME8APgNssaTC7TiPrgAyrjsRIS8DBVvehjkAuRgpXAX
zFObNckCfW2l415XyKOhkA4A4XQP3UsiUxu1vFuhQxzLdchMMXwRYO/TThJvR2tA4OIWBN67Dgcg
BEm5L6BPSE/ufHffy+ZiqwLLhn8JzZfZS2ZkSqcxZEUaVGQXWPLYaeRppP9CfXKFTg4WKim5sHy5
C8XRrP4jrKkZGCT4khJ96ivgy1Cm92sN2I3GRb6EcU5UPB0KbzpGw3Ba5gQkp1nhsiue4H/K2tZe
rojpqE0geDTTbUGb23WZAGdJFmYeetz4uHTsUEpXRzQK22K79zSb6Y737t3g5LsWOeJAl30EhSId
/dnuB7QIQUEfPJSPa60CIpE32Cx54X4E45xrB/cIkk+xq4tgyQbSPfCxm/GB2xitbthHXiDLpKqA
hpbIq4Wp+1H6IIj5YnPEpu2cbO9W9BTLwAmkk1/qJ6mn665pPrQgZaBDoetQ4v/wxyvfH75PzFsh
IiTvFXxrgZeEmV5x85mXb/AlPs6RjzhdrHACQFY2UKMnjOIosmIL0g6Z6v0KcQTtTEBREDiu9eTt
ZVHdSImPAjV2o4BhZKpXO97EvQ1yg/4EabAud6uJDnReD2NRPU9ifWed9x2J05zh+h2mEUFRyys/
46aG1DGhOK/j7uu0Uj+HfHyBQuuuCW3xAauYIicNq3yT1jeCCwYoGYRpQcllKYL9XAz3SN1OQStP
JumAl4THAoAcM1XuVcWXqdZ3tNLv7RjmqAO5fa38W9EzgYKXq2guZQNnPhVtn/no4UVS1E2NyT0a
LMiagqY5KORAXqpttVm8yBA94Yro/HwFZIWOZ3F3PzfRVYieApeky/vZXEO7BDLI8eK92dZ5y2Br
A0NhdwDW5y3v7o9RWZorzt34rZZ9ecmbj8O8JEfZJW26DGOcg/ydb6OCubvEW7oDQo/cT7RhWaxg
JqGOQHNDz5uT4OEFR3FtmhChnOIJXlOLPIgeYk9geXFz33p9XKewhDZHahb1lChKd7aJuksDG2M+
E+LeL7D8vwu1jjLmhd6z54E3G7WhuM4F8ggfXfUMsLbM657dCOKdxmb+UXra79IwsHw3zLZ8BEin
c9177lJ7cLwZ3Ztd7xHVZCUSBtBlLVCoFGqxhxuzm2AkZBF6ljn+Dd4Bktm4FsDoCUJl0GtkyK6+
En3Rw+Lg+Zkue7TLQgn5jpkASCPgOGzPgL+vQQbtwyaAQ0I/kr6WGR8A2UTlLQc1nAa2F9emhE6w
minKBg94RjHO/smyiWaASuxnZKUywzLcz9stE6iUXtm3RN01kdlBbf+aQEY9Rra6YqxdbtHfZ8jC
YPoS0hGDRUFxjWz2kSTL4+pNdieatgWiGU63qAmiHU4p+XuviY5UknvpvP5Blwz1C8OrBxc1/RGF
AvLZsC7O4wB2xgRQ28lr4/pCK4BPDiw3aPEAWmU1ndplXj8y6qYsMAtH9rvodxTaYMYWF2yOD5fN
sBw+ACIarosK6eIh4DB7EKouK4NmH+k8S3XPBAIHtF6HG41fvivbdchh0ZoB5DfjG+bysyoVJxSu
/ACy1Kb8kPC88xQJJSkbLe0RZ0be9uth2hr/6NbsNBmWN66C/qbG/FI2+tto203xl9IlWn7HA3gt
NEbyzS0YOzk8NxIZWrcP5CdNnuCiRXc1/yOY5d+X/v7WIen8Oc9qs0KA3qs3XUqCJv6hCjecQhh3
Pk1NLKacwYmZgRJagMyRrJcAmYlk+UJFhNhcAhrsvF3lixQJKLwIm+cW6jx8E8PYNG+UXl9/IwkS
Z0gZkGXOqpQW1y4uNJpHlb0UaRQWIQJ+fG1q1sKohzzt9zOz1QXPX4n/szMeGlWhndpZ3XDqPA54
Juog/a5HvAhfrvvF7JPvkbsrTXMMm7cqla89IKQaHw2ywoiTc0Gocxped7SPOdqA3mKL6awPguPW
bCGPNH9DXvDPu+NtL/7X0c6aJ7SuQls8EUJ+YoA9FyTDnt4WnJ/E4KEE3Lr7ZeDv5+6NeuzPguvf
JjaEhhfhSdH87GxiCfO6eAABezTD6sNBzkaewQQgT6WC5O/3ylz2K51g1ApLmSoxLEdB4jLKqKie
6lUlV6ubpmhXFnq8qMsHP4T7XmT9ROw7o+EF510bHprx1of1shPtfaNx5BRXtonnZ9oHDMvGRkeL
vo9e2lordwFqekcY+4arCQQ6UjsJlxNXC4xPVXQgpAQsAggcprISF17404BRtdyhYxl8XKQUS5tK
3zP7cezaXRnEX+NqaG/G0e+BdhRvzJ//t6rR9uJQqU8gpTBGzhdmEaCahxYrW9eLPVoOZmres4Zd
I2TY0bvH+6oGt9fJUUvc+8ybKstZPX0LVfiLbt3m0cWN07OiFfiexGjYDI9RV4KHBDt2WDo/2pHJ
Z29swdcedWtjSjjcAzHBQn8ZFtugKBPAM/C8jiPc2uAg1+sEDW120k4fNJlMxpxhmAHAlWhoNKOL
CqgXClN0rqjs3zgSXokILz7N2Y4hqNYJ+GyBg8dPDYBp4dasXp6TosxiW2fIdmHBbd84Gl6dbhxB
FMI3hJpzQQHlERTSOAZF5wckjiHw7bjogrzzsXX/ccSjAboxBQw4BGxFZ8jAgiZ6dlOkjyG6uHxb
JWrZupuXg5IxATaLDpoNjzISiPgAXTx4Y/Qz9e7nuoJIGPyUXCk5X1cTel5VMFMNRxS0VNqubEfQ
VOON2dxe0VnsoWhcicIrJGQcIWcLygMeJxP44jZA9zmpSnRUrHkaEh8pFdD7kcqTD8nk8vcT+9rx
jr0aQxfHxgGDcnbIzijNQ+bi3bHm8krp6kpturXtYO+LGLqKjN41wUUugUe5XPD0cG6+JU1tT/a3
J4fohsaC+CToovRyK/lkDAIRJjjOnLqx64hyoCDsjuMOicKNQIqHhOu/eWywM+AqUcRg52AIZCsr
Bl5A93VU78Q69pdFxEFHm42apMEEqIzBsIsYnNvakycLzCMNS/GWavtqIAnRMgqdJ9HgE8Hk5dN3
CTBSVSK/KiT8nrwPf8TrhJRuM2R4dz6pD7hm4/YbWXBiq4Vvg0DUweV59/speW39AbihKP0DmkGv
vpefA9E4CKhG7B4rODdLlMNqeVlF0XNjSZS3zr9sx+H978d8Ja2gv4yZnHU/0yUvCJpOw4lMAAd6
7rbERbsMyc3qnX4/0qtPh+baQJ2AX/HzDM1DQrjKCCPFkjytxXCVMPRiQhKxAJkw3biDc/CNDo+v
LWuKtoPAaACeYIe9nNBxWpaChsCcOh896sBrwivNS/0BDVdxdcSRf+TxVHz8/XP+rfHUdgai11oc
cOzPyD/fz60kgy8VGsqNXgh7bNXbD5Q37qsMxuHE64ZB6OvnZ7DjwS5Ey4d8hbM3l0Aid2ityuCG
Gr+yeW0utU+LL8PAKJwP5q3mk69FVBZsbT2B1wXROQImhpkUrB3tUY3wUvF2/Ag/1BvZyGvHEw6n
n99qgmZm5+p6WLAQ2kBtj9aS3dLEyans0H54Df23mvj9vHGdRzB8QRQIP2SNAZi8l69a09XO4dDb
40TIDyO38rxRfb5EkXeADdigcIiOOqFs6wxWXoMGK189Zvm7wRvUcY1ZcxGj7A4najB9ClY0NyzK
pk0LMYSwFlbig+CwmhQNIW/QL6/sP4Ze2xQfPUmwVs+WaCTQkm6xqz3C739yxnyhZM3c1GWwQ75x
0Lw11LYifrlGLqjitoQQXOZUB0BpvAUKjNNEDHAzIOb9fhe8srzwXIywBIhhTKKzdAH9LxzuRwF2
O20g2ixl/YnUdXz3+1FefSQ/RNvGOICKdX5ih7grKIXU/kjW0UC4kHcM+IJBA52iWt5qcPbKat5O
578G2wLcL/OHFpC20REGK0lzQ2Eyv09gQa/9qL/4/VO9EilfDHS2llGBn/o2xJrQXb/boqQx8Y76
vc2VXEnaoesFUqC3VuL2U892EAAf5NPh9ndcwV4+nguSMgYuaY/OLs8F2quljLiDWwqY5TjtszpY
329xK+EleSPxem2xRGh1iAQTKR4075dDlz2MHRIGgSNDb+VbQ4V7D5bkv0iWkWv8e5Sz9U+nBCA/
nvCoipBm81igo1vp3zXCvXHsvPY4KDNvVxIo939rg+fiYdChQRWMVwpXjzh6HnX4Ru/g18bYklV8
UQ6uHfiXl1MGOYmPcHNhM+v22EmIcGSOujfey2sLEcVHNGJFdoTGhGeD1MCFFkqxJOquphmWR5Wi
LfPekKfBtuG+wUVr59W198azvTos274FBUw2+OuzlVhHbTQ5H8/W47rRBv6DUOVhViYbTLcTdjzo
Msl/v+Vem87tZVES4S6FRn8vp5OvHYGlyiEMM4jThsE1iM6vb0znW4Nsv/9LAKnmEKp2gCNXAzHb
q275KvHdAm8M8pOXPN/HP0k91CUTtCA7e5TVcQ63uW/hn8DXYljcOJBI+MONgDH+uXaOP9gICKRf
JVGYwqvgPTg5JU9u+ITUBC36ePGgEtirMmc1Qe8GUtyDSk/7Bp7XHFDatwgf/yIyPfxnSt7Gw3Vd
oB9hNE5b3Q1FGYbCh0z9qKDX6zJ4V5JU4nFoHmoFcbYKOep/Jb9Hqf6bA0W2D4OlzSzT6KBg/I/C
F+NO9M24a3CZzqHGK9AO8TUSdH1dh6PbxWwo7vAdDD3sR43bFxyOjCJBMw1QHgWE8t8vjNdKoPii
AfSk30BsXA7OprPW0YQG+N5w5DDa5p5w8hkPKT6j2WJ00w+bwhKY2kdztEE06Ag5o1FrwlXe0a7Y
LaZzu9ZM6BESND5wsI22LwW7nkUSQ0eEG+33H/eVMwqfFt8pg5pIxHAovlxisld0lky6Y00Ag6wA
+IRGuAac8cdA/w/MKP/RsvL/r9UE7/g/W01+/dq87z+/XuoXvwn+5F9f54Sthz5sAeMbYL9dOv/w
m+C7SvFlCgSNyDe7R0QofufffpP/Y+88luRWtiz7RSgD4JDTAEKLlGQmcwJLJklo4dDArP+tP6wX
+LqqyCAr81VbWVm3WU84uZeMCAh3P+fsvbaw6D4sLQhEorSy/91vov6LLViJeQwpLJZ/8T/jN/lb
z4GV1V7w9+iV2aN+f05A8GBHJmNpp9HyOIwwTbeVKxFKpUN9SC1xW8dD/yXSnHw9DZbYB0pVJJ42
DM0HD+zfim+HKKJFfEtryb7Gb/f53Kb4E1kU4/77GI3qrWYU1U1RzMDdUoepSlhsdbiBu6y213Gn
pdkK1uEp7Qfzg03g56/+fekEF0yPQXClKcCvAyGQQqpkOdB8pj8YeElgWEcZAeXB83xUcYa/xQN7
5QqCcQmUgwrhKG0r3Bbz62z0+jo1S+OozJq+mWBZcBydpodfnrTbf3yVX70n19YD+mA/Y4IEN42e
DzXV7/dthIWq9XPbwP+kgEPh1vtAGUiK0mMhDnWHNskZAS1WyxTXyYBUJrXWb20gN6TZJNaXxGyM
7ykLkfPRxVsWwl8vHqzyBfNv0PnlWGJfE78rZZYV8tmKTCkEXIWZFyvXisv7bKzaT6aZlQ/1PAUv
oS6Cb5UdV69ODL8imZ3+E9Ew80ZNrGn9/uW6Pkj8/Ep8K3oXvHCU479frX6cndlWwP6rneKcNLi/
N2rbMsiMClbkHCzjAn+A8Ymx+qPLsay0V5djYdiLf3QSmUv9/tlFVuZV28KwV9HrDXabfVMi2/Bt
+sQ+8kjN10JIlXCFcGDnlbvrANeuK1lHd+9fg+tjPddAx6tEj4emPCXZVYNn6OvITXRONmM8302l
jd5C7U3z2Otuvu5b0IAAJhy4ou5U7IMp2L3/8X+5BUuoC5+7+Ej+QPmXU5lw4mEuVzPPuSACtP3e
kq+VmyheFVaEa0AT3SQxfvf3P/iPhYUfvsR72Bi3wVH/cfNTBVSGJmW5c0OtehWjsXGrmBtOYxMJ
IkcREtiyo4t5Ove6ZO57L6/7W2bFJgjTod++/3UWF+H184CHxjEJljOx01xnGpgY7hRw+ZBO2jy6
KGkpjo07oOsycrc4AXkHR9zniKddcdBY24CAKQG4j5Zz1gTS421oHXerp2UAj81ASWTMBvKQXn8q
UeCjQKvDwEt7Jb8rYAZsFBbRDSqCoF3TTS7XwTCP2do0Y1VuOKohcjNKB6O0NPt4Wyl9yVivaT+9
/6OvTyPcAk5OtFXZsVQG5Vfvn9p0JvZcmHFRaHAyY2YcbxsU4Dcidsf79z/rj0g5jj0L790kNYLt
ke3k9xdORHYS9b1CRSSluwj19HJfdjVqZdcZURoneTmGN6DSwCGriCHuYvDwt1k+NfHachtxAZ6h
1Z7S0YX1GtfIzmOe5B+5B69bknxLFnHrZ6YhkyvrauOVeV9WpC/0OyjaFqAvFSn2BNT9ZFahfe+k
rcDIEAf79y+Ovvz431ejn3h5emO4Fsk8W57OX0oPoZZYOlqcfnOhwlbUWhQ1TqJ8FShyN4M2wUM1
zMEmYM/VkGgXBqqjaNo2WATf0DL/GKL+FgJUdU5p5WxHw8p31mJqyJ08gE0alfkDyJ7gS9KBEQrS
FmifO5hemGn2B2s6O8ofv8UE07bMGHmzUYpe/RaYHXpgB3O5a9mTj63IMBfkpVTq0xzOw6Oq9lMH
VwQiL2Fk+EHTIcEOMvXxxbA0HnxU/Jqniyl0VxZujIvaZ0BM3W68TZJS8fLOzT5byFbWKXwOT3GG
Q2nWDehTtfICVwNub1GSVCsJybPOgmPmDLvBlWin9GAN1Wi7jK/zpDFujfrShfFRquWXeO7Y8KBv
rnDyRE9GMiBULEV3URPxyHT0CC+2IgcPDJdTJKtcEU9Q32zSafL+wXaTYVfIdKsocCQNrLoexMJ8
NYzmtyZPS8wBiFSD8tYxJfTjwbln4ix8tj9+La2x9SQZSLuA+1hKUCeWTvBS4ztgbtfrW4To2xws
4dkoFahcLlywht1yAOKL1iPz40ID1w5YqJbqYRLO52qhBrkcOrQSa0xJThNjb93Tx3y4TGZ1C0/F
3sTOZH2uyv51dENniwjpmBiyxzCSf6tmDTFdLD0xutUhgwa4mePZt6z5aOblpY9DJJGDi5mNmJA+
VT6rfRodZi3S4WV0B71Qn51JfIlclkK4gxBrz2g5T4Uz3Hd4YOyFUpcPd2oC3hDg6LqC8HenN9G4
D/psXpGo8CmZ5YPSh3fQWEt+t7rutCcneDWzDHa/Dr8OFlTQVZ7bFDs5Vf2NUMpvShZqpyCJirMD
jhtGsrXvk2gzodP6gXfkCLCGaVG8j4p5H6J0jG10OYazH1OjfOXiooaRaWOXyLdz09grgTnlBJUo
4KBnN4F/rQWypDUrJu6Tk5h+bnf881WpPeRVNN2jX4bHlyvaI/ojROMBTe+VblktZJTE3YAVb9dA
+Fr4yLOt7ct0iqeVG1ebYoC5smKSRJAaFF523Rmj5UnGunyNf6Yk2NYAXTtuUF5Hrt0ZN6oVuV9R
qTeb0NTtdW1YVreTcBDWFa3BnCVgSWGIfyYyaNpkfMa4QU7D0twj0yMUxC0QoOnE3tSbYNcszBff
Db3PTx3ZkXA9sRAgCF+iIMTPVAiwGHqx1qzc2AO37L5MKvwElAMVklujKMRlDPXC5McTYhCvEglw
xC8pEgrv/ZXyz8WFkY2N3t5kNAK55urYNmGsbeMxwpnRZPOZwQFy9lka397/FPMqftLhci2TZp1T
qYYplILv9wVZqiy5DqGSu3n5ofryk+mZG3uCJEWx/g+SMozMzE9I6cMf/+dpGc3POzmD737Ulnvc
NuZg3CTLnS+aOdPWv8RmKEEx8nkAtL2/Zmc0imPwLhCbIWmpnfHCXyIFBWsaTWLvtEn1av5zGRrm
pEUbJ2+k74g5vKWzBSrSaP+pDI2QQyeKxip+lI7e3E89NK7fgzQURf1ShZ9EZuEH+i/K0oCBGMvl
sOb4bTqIl38+UMPp4P6YVuc8m/pVqkbJnnkbarPquy3Yk//2aA0tM+jcTUGWJqf/d7I10OXaXxJp
NP9ktkZnEaOL5v7B+P/ZGv9l2RqRJPK2dpEzlwkegncDNiKBoRPaz39zuobQuvEAfD/eMwiQm6Gr
64uLg5AwUygre9sm9xEsWZrHHvWFsobA5cQbazS7S9g28uzIBHysFUSvmlmN+SYstbeIOIIXNjSV
HTJMXjnwu09gtZo9iT0Nbt+0tc11LqXjB5AQL0GXGTcTgnRqIYju5Bwo9mUeJwzu0RQHTzbs3GPp
6HmHdBsjxYrkEHNXhKZ2r7SZ/tCChtlzgmu+J+mg3Y1MqmdPYg092laAR1DJ2/TU5f14BApZBKtQ
mupNXjnhWQqKwEQo8xmrpdlvlKZqboapG05kJAT7IQnyH0Cwiicxquqx6abqhBgF+7UzdUtGRJk6
YKeB5wV6AmvAHBxf74164fqpzSFX2uFoTOoxpAefrOq0nm6cMbAPyjQxrik4EzRmo9+1KQlDcdQU
d4mWAV2E3Sqe+wa5C3Fs1n1EUnTqYY4eyBkqh+jUjpF73/VduQ8L/dL1ld1sVBHFF2niDkW8UVcb
ExTl7Es97wHrT5HCU0hSPaWwFUP4XUYTE/L7XTCoeAoqp9xjXrJTr8dKa+xGw8UFYfc2LMEktmF7
CROQZrN0F5GAqeNmAaZie3rr5qbeT1r4I3Egy+ZaCK0rIF9KYhKPVsvQhXQgmsGkWs7ubYYa5TMJ
YsEL8vV4G4xF/qJg1x+R/KvLjCQ0o0uM//rVLYrbwmzKDUKc9mhOlb5ru/q1Fnn4DCXf2pRIzGll
FFtOFOVtnTbFgflwfwZV3FPGZMOxgof8WHOYW6MwCV4SIp7iVcrs5RNV7PLlQEie4yiA2Gd26HhH
V2HeEyVQ7BK90jwLz/UBOkfpuyRXe329zLflHB9qKyPGq6BjNlhjcaigmG5FWmoXLZMkOMC2/cEY
iBILhKQ9YgTJU9w+MIaVbT5TkF8odadvVQXvJ0YBfpvVAF/KoOq1VRsEyBQJ6nKPoMvCtZHmmW83
EtOeizkojs3om4hIUiqywr2pO7e3PCAhxRabuInlGmULAG4niTD+VPa6cuvZRmc7BJ5sVJQ3dX/s
8zBC7EGGziir6eAkuULOCrcgxAS81Rvg0ikJBIrn9GbSruSsdzudt+YB+VIo14PIzNdxUORJUvPO
lHvzsOhk3M9pjkd+FdqKcwOyknZikvxICl3sm1jqT4HlAC4v+YOTJI2IStODh1BPzVcqO6XbmG2A
S2dAvf3E+da+g8eHo2TucFVGELZXkxJEUI+BEDYru0Ql5Bl5LW5g07nbumi1QxCM+Ro6zLie20zx
QniU56awiksZDs1942DioLxBnl8k5TmdpI0jZjmIC5IBbI2+mxOOxnkqQnztGCSeqyqkSUJQS4XB
XIEuANW0e4s5CQP+zNuvtJrPVqOU1ioowuZWQELAgBv3xwin3f+et/2n5kp/J5P9Cib7jzlo/zcO
ldCDMaZfGlb/8VRp9VrHzf/8H9lv4LN//4v/BjGj67/0sg0DXRXZwf86VHJccGT0mpdwcgc1zK9D
JfEvqq0tinC0ljZDJEqef4WYaf/CmdwhPh3BmkBDq/+nhkpXEwDE+q5NZwbKFzMqlS7c7zUNASRB
AkYi3TltvGti8O5FOpKaMqtnUVhHvGZQy8eN1rJ01xTiYtBVT5rd51KVH0kwrtveDEooNdHCM8iB
bPVHN7DBPNR2c4X53UDJ4ugr8IvBfUl5ssKfkq3RFUweqM/2k+X288YIhmmT96S2GYQ1fWvES1Ay
rBUGml9elYuL1mLTTp3rW1kTb/EDOKuOQIUNG3Fz07jZV3ag7wLB+amfaaSV7ZBvcz1Ul6SEQ1Ua
/QGsVrLFFVu+ZS7m91GG9KZSx0FLND1HOUiUfI6bWydyJ9xoduMnc+WCF8aKDORp9iIy0H3CvEoC
SvPxFXtx69VRumFR0D+ogq+7lMvVo1dNJazhIrCsqyo4yW0bMTTkJ8J8xGookAuEseNXdeWTL2Ac
Exl/UBFf1918IqM31OVEmzKq+CPw9N9Gb6Mq35Imzg+mdKfNL6/U7V/GZ9fTiJ+fQr8C7PkiTLse
exI+aiiJoA2qlMGRzYZpmU3iXKyadONYabOG28pRVtKUpVm94q4cgMonp0nOuyKON3TsIDslib1m
kEbOYKX43Th9hHj6y8Mr6NGCeVXpc6r2VZN4DDWLQDSoRPogLnWJiTkCYOsZfeAHOl+rd6z4kE3N
UXcH+YFKUPztTiC1Z8RIq9gRztW9H4EB0OxKkaNH/YgaGvB9VAvlARozHaJ5vMOqHK0dlB2EJJJ6
/Y33qn7sgng8zgVsj6kBRJSW0fDKOJviuPXHoBluurgaLn1Orpm0+R9E3dorJNC3A0lEPt71atvU
Zv3CZbGBQ3DwIsn0KWwiT53I77H7KdxoojQerKQ3n6qCEIoPno2/PPNCZw3U4ES6OljH31evbp7n
rozh+jXkIYxx8RTF+Rc7VfMVI+evVTcKOpzE5almfYfLRK7Vtv6mR8qJblfptRaxLrXgWGxTv9+i
wDE++IL6snz+2sPn4V2SjQ1uDLIvx71aXhmlNFKjS7wTAH55PbQbOmI6IvHyPrBT8BIcVrYIufyk
avpDXxYkh2GCt6Ju2CJSFJ46ygdNx2/c1WMMsi5PvHFuVOIl3PSGcTL/hOGMxCGOH6zG9l8eaASu
Di83MzAdOfbv1zY3NaJX3IB0ct3dM70BctWHb5xogDKpoGDq5RsLFXdp2OnrmbO614Z27lXdbK3V
Rg9J9+sxElaO1fsiKSyfb+v4bIPKqrHcr4tn1m8yYgkFyKgvIrNPsTq03jDp0pNwZ/aicYvLLNxH
pagR18r8IZqtCJkSQ4bPrVAzjpw1nUWCKsXdmKeG34Zwpqu4eFYHy14ztyU4Ym7wgrjITC2Vk1o5
aoMH/Gk6kTwd3teMjjyZYLNv5gEHJEZjVLzVCME4ZRtoJfHRGlGtVm3UGxhRN0GYRufSxkeQ6fIH
VHTXp5v7mk0WYSWOITfF9DilN1UIOjuFAeERuBMesOfwtoH1Zxeo9mFP2qIpCJgwa2e+rQT9bgt7
pc95pL1HTcV+awpl9f7L8tf76VrYJXDpGe71Tm/mFSNscgF2XahSlp0K01I81nabBKbyJNLpqJf9
E27zD+Uif3lLUc2gqkGmJzAiXT1JuPrGiJykagfe5KudyA2Y+TcwVSmDAhDhaDKddR/F0KSEBMJe
hjuTJPltTbFCoB321arTvaFPp2fI/DhFMw4l71+bv0jREfYsUh0XKwcS0KvV20210p4Fskybkc2q
wqB8khypPTOUxGuREnnXEKJL6WVKr5nszVRzEjHjevQw1B10UXQbtpTQN+b5LmnKz7Ce402rS3ev
E7Ux1MkXAt66l/e/tbl8q+vVxTSR4ugoLh3+/P0VraLBnghxZUIIJWMNlBlmDJMqvyYJlWmyGp2K
0lHe8Pepz4NVz2uZxPOZQKKULE/MmhDGhL0xdRBRQzYDwezUu5iMt7EK9+hty4c5NPZ1d98w9fZG
SQFlzkgv8qBtOJqJYR3EwdbKR81LCkK8olC5B0p3487DkxGC5cvzQG47Nbl1puG1bEgbXhY/kZgS
QIAL6kuQaoELuwWQD44hdCH5MyUxtr0bt7WH2meP6oL5R2KcpUqCBWsVvBULcsOcfAlncPeKfWMR
mPH4/pU1ro7Fi2aHgw3RmvBisVhdP7J5Wk1aDN1n5wiqUzGfg2R61MY0vDCNN/0g00qk1sa6HXSM
qmRRemR5sABAqRgBbXlBNmxIX1F9I0oVcqCcCWBDTcImC3+hL520qvgC1Lon0Gwy4bXxKXj2mbGE
VKlgDKkcSBhVwlNtDvppii0MimH5+ed1LiroFoNef9KsyfrGvMNzQ0h3hPVhc7L1ioo3WPoXpALV
tIw+Gub+5anDSE/lwlLCdbo+6aiV2zcMYspdbDV3zEmPWgWcsBkg2AyG8czrpdyUHAaNEExFH42I
Jns1Xusg5v2RWtXXkkA7i7i7KWS1kUH4amfRJTVrEDtIJ9DXEBCuLdmBRSlTz4ZnwaZS3SSj2n17
/z7/xffDCsfSRFaSToPQvXrv8RP1zlA5LE2K9lWMZXuvRrN2MNQZrsygPNYM4d6aCKYayV61F8n6
hfcIAnm2tBPaNrVWVhJm/sB6u49BpDAFgKX1wdJ9NXnC6MplphzlplP7sd1fraB06UQnIlirukK2
7hjVS1SzLrbITaAVcS7uCgdlghta91YsHkp2sNVckWPa0EQYuxFMY6K4n9oq/tQOoQ2BNC1u8XMp
G7NP9C3SAsIC005dL0XsSoqc410Y6vgop3tZ8rcVOa+MSbkvVdF7Vm+E+w9uxLV53US5B7Gf+pjR
z5+njcpUCdNwRLZTw2bf8uwT+np0QvtRkfb3Mc234Eyeksy4KOaHZs7rQ9ry2Zx02ISRwMEvvVpG
e0TWDSwgUn5VdR9x+khUySPA+miScK6rNUiv6iFVi0PCar7KB+e2LsRHW9ByD39dzJdvAUKVcgr9
E8aYq6NiJaYgpndY7qYlb1gvRrKG0HLH8zT69kKi4W08SzwsDKTjbMO4llMfoaBgFn2dAHY/GUV4
RF9BHjEArH1cVO5mtkhXKyt+UqBfZnXJ32Z+XJGU7Gep9oEHRr9eNfkJVD86X59HFUvq1WNKWTAJ
a6QHpSShum4D4T4NLPSgabLpMPD1znZjlKssrsDaNLBK2rqcX3OkUkjPAcpVlfHUhFGyrucR/mfK
NYBIBL5Wbb4SCULIHpFYHlEe/YWgPEwhsFA+eNX069Vt+Q2Y32yedGN5465uQ4fcpMFlWMCqIm3b
HUbjq2LNd5XWr4c8Zm+cy4McB2szQEjdhNq404i13RDmUnwKK5NTZ1d6Sur2HgnpwJTgk+7yMSN/
UOMXkjrzVgWs7wERDujNNVJ0IYTN6eirxUdl4U/X4tUjhSHA5oSAQZZbc6UjzFVFTenZF7uiydYE
qbQnSKLmDWAcVlSniDfIZW+YZOzsvpU0PXTixQMLnmkW68hm5Acv+U8k/h/fhx7FT3a5g4Xx9/MK
HS4CrTVZ7BjLbO1BhoSu2dG+6bg8o5Z9MyC0EigRb5yO+bBZzNmmFimJzcb8AHpu7Zbtp0WiuWqi
bD+Yp2GeN/qc38JbjcC5LZGT+QQVit7vqnYStsZ0+/469fOUfP0TQDUs1eaC4b/WGtR6A7dejtmO
oEZ9rcwtwYI64ggXaxKRHA7C1DwiByxsD1Mgf/TkFSvcgpWjQwEdXeuOikM8x1oNHMOxPncjwYam
3hXnLM6HA9r0JclZxMcSJySsz+5oKR3YQKXfjLDJhaPcStYA9sPIJzbai1MVP2yVfNBQQGH2x2pE
95PClecHWLpjXT06JcmVBM5E6a6ytMizpfUZ5blcEcGib/WxzR6SOR9Cr5CJ/qlRwt5vQkzw1mR8
BWQx7TJSCS4ilnAPh6w6kCoSEfhnk9gkEg+Vn/M86e28CZW4fi7SDMlQnZDhnYVvyWy5XzQ1T4lR
Co1bC/KcF1uULaMVJpgzxoY5Ra7vYGpPW+wymg/pdD0r4cUaHA7nKbnKmpXd5fVYXpQ6ak6z3hzb
sSlOadCru6jX0Brg6TnouPRvw6J6jYTOc8SeSD1UmWnuObXzxe7qtSkQ+TbzSJRgO2lrFShil+A1
DYOveqazhDZ0EYgwnX2zGyDaEsCzKZaWPZ2KeN11VeCXqZBE0CU7yIQWlF0n+FwiOD1bLglpjAv2
0ahnm0yPATS1UBq7krZWpxpyG7cmgLskFp9qrXgWiVr4jLMk8QgqeWCGu0YI95jKRcjWEsYsp0sH
hXGDgain5s0GX6+JxQXwPKA1C/OXQqTHojPcE4s/zOgoHIW+chNtXVmcvGwZcAqPEoZ+bU7WoakI
8WLE4xcjSd6GKL53tH7a6HZiln5jSnFSZPlW1eJJKbTOV1ohPDlZxmPTQ/BRaTGBPIAMWE6ieMFW
V3pFSCIzyWkdojdwnUEBRjTRqOZbYHYbdMjRyiRAdJ2CBFrXrbGFaTh6cwetlnC05xqA7F0zqg+o
k2/rNt1TYW9SlG0eKCcTRHX6OqjEHdr9PG8daCp4IEiGjSRIIz1GOd8Ts0STquv3Q1cm3tCQEaPL
5EfeGta93SWqrwBAQ2dbl/6k2v2m1M3+XHfZsE1dxT70tXNhrPWI7vpZi1TNm6mxAVuSksfxMD6p
beSuJhFqP+MTV/bI9wtqhQghYbdEPRl3ZG4vh3TqyyCo72mCb1AGs1cgBFuhccNU1bnbLFxWMdNu
VkQi/IBEX3hBm/W7YaStGMxWQUR3+4wOONxnEP5pJPMaDKDFT9xUEtaJozxbJmeosTNU1Nric0N0
FvF0FtHcw3KpQhJEvYxO5UvWT2IT98m0Bt8lWfqBSoIt0M8yzAkJngWvxyCMZhXZRYeWsrRZtFvj
0hY10WyD7r7EPBT8ttS4dDnyawu/7caYRulF/P67pkxdQnrmYkfQEXm6SFQvXeQWOz0xF2sxAW91
aHT7hqqHBIGqWw9KNN9BqebSKRHSyWzya7d6sVs4kaH6I495MjFMQEl0spXqyi+dhlmLr5xsE5KW
v2R2eJiZFkR2eUfLmFUp7e/mdj4bRv9phAB+njDze1IGxyDMFKCsNXHNaTg9zIZcoLt0nUI9MPZE
3lcHWneWrzrcSORz0o+U+GuWu72vy7qCjOUwVnAfW9OJj1bfgwUMS0a4uXAX1itz/RjEn6ykuWpg
LP+omi54Sd20ea6wDpwJk+TsQkjDAHFrxK+rJarwMyPLfacI4l3ZV7MPJ+Yct9oRksUxgGE85Fa2
Dkz3weLOk1eQvRXBZBwiWpheFnbZHsRwuUE3Wl8mLQeRaCOgtdv+lnxKoixBop4Mqdk7fNbNbScU
8Zbq2b42lYKrJciUHihgLAogb5D5sJoTniO9tFyY1DJiXjpZrHRVFny11Ua8kltZf2qqHHdApug7
ozTnmybvKFCkO9vHEKVeA2A++tyxXXu8zeJbGlvuxixkTvK0XtZvlpGnj5pMxqM1Z4ZvpgnkUiVi
+alrxW9a1d7ocXiB1vcCg7WAUCS6eyJb6y2vSPYITc+CjEyeYt84z8pM/DsPZLkZE7isUTcyw8qK
heVUGvZ931vKOXSAL0oN9SnzOGwUFeK51i5Hv6KkmeJwvh9mp4EYGFifU7ofvjpM8lNqZtEejbny
Fkx2/72apm6fibS+EIaCqBOTPJQRxcggsSJO3piJMB+IDL6NLUFkd+vY+6BwxphRfmMDydItLyVl
kFx7J+ryVemGxinXpull0Ae5ih0hgb0Lpik01LZlSe7haEyHHFe+17iy+DYk2QRtWc5rosISWmf9
cNaT1FjTGW7OcQEWliTVYFXPhfiaclJHt2M/lyP8wSkBFlOQX7wujak96s14sIbGXkcmW7hbjdkn
oL3WSot5zXvTiB4mrSFnc7Zvit4AyRG0+yybEi+rk2SDFiLYMCFr1hzKAiZtJkqTQK5KK3zQtcK6
mwJavHEwAn6VKg82QMczq/+2zRp5dJOQTFfC5cTsOfbc75Wmnp94plyvswZuC0z7nUbE52ddmtOn
oO3yPY/c0oPqT8thmZQTZxOb7HQh0bZrkcngk82E/5a0NhY8mLE1vla9+oLCZNhNFU8UJVR60yvi
NkGQ44+W0UJkFkh5i1TsQhdy9dSPxlZ2Q3XMF6aNRhzjCj+uw96IHLfO9XYf6AYomcwUcuH7xOd5
CKoPikHjb8cvgd4EGBhdLuN6sNFGsdTywGH4Su176jt3VSsagQxEdK7yLjd2pZ6PcFJL5NIDWLs1
uM4cbkOCvL+Y58sc8HgFqWo8gdCg9gije/LJzT2nzPYZluewSRwbsmk0xBPqjtbwg3mq39pqNn8E
SWc9WkqKgdgiQfdeb4pu5FntyufGnS2/S6yZxDUhb6cksHZVim91VaEA2QCBvuRthBwkVMCvWaPP
6v89Lk0i9LC5rN4/iy9y29+P4ozZmHTStjGZouvXR9Suqmc5t/kOg8lEJgKbxVCm5boap+yDj1qS
xv78LJcWKzNIxLbXnda5I2zCzsd8ZysNUPypjvaGlK/tkAKGMRHDZ1k43LuZtVn410e3xyUcykpd
1SM7K5EAuzBtCZmYwSSJ+QFk3uSnpAB6CvGLH9Qo/4AfXV8Z+AJAYkxOmtZ1h86qgWOLnmQ9znuj
r2Gf29uyTdYIcgj7jsWzKRJUYXbWEvzL0RQl+VpoNObV3AECXS5bmyphIzfFVlQ5j1hK+8lDZtXA
yCN+6lYLCS0x5zS+aXvh7tOpVs6lU32XJq9KWgUD/zFWbkL23RP5Q9jnOnX6EdRENvTmuG7DTt02
LIdYmrLKfGJLoEgQ40Trt0K95jlVGLzq82gdOiOPebCWmGzahke1+1LFpXPIVCa45JwT7dEiEUoi
g7k6qxNrUnKqteQ4Z0G+09TmmWb4kTx3B4q46px7o5GPM6esiZcp5lCS6Nm6M/tiS83f+q7IukuV
LZBtZ07ilaMF5MKac3EbTjFCRC1h+bCJ8NAm7dY2smQ7DNWhpHsOszwYECfQ7pzs9GucZ/ItB1YO
dlXzsaC8lcV4DC07Aa5nXgrIMZpGZqcg5mBH1uMW7Dr44RGziWzK5lRN6o2K7vnMcvutigdxZzgt
/Ga7GZE8RCMG1kpHimAHb8LS4q2A2nuOq6o/A2qHEG7WkiWDhO+MxvSxzoP5QTGb/ji3y/hbKRds
sWAeKsbEZzsLfa0zyYpXxleiG1jfG3ffj0FNXE3G8kM9PdZCQ9ggvodCQWyZfZI2cufMWQw2tlJ6
ZReKjQ466K7rCFbNo1DbYZwAKNqNJMmXgM8DwYNQIXfZTkinVsIOifAVU7yuE+17Emf59xkv6tEg
vP3Evg1Tp8JiQniA6UU86sQGUG3bpXMyexJq6jQTq9EcKIIFo4H315afPb/rVwgHIm1h6Cp4jJYF
+hfzVaTORRSFcb4LNSO9dwbTeMa+pHIsNswOn7CRpkeA/mtZjPnWCsOviUBt0HOCzlkTdikau9to
1i+pgskoZEqzYkJK1nHdHkSfyo0ZtPO2sbriINL0heHnMi5VEy5zna3iEK0rvKttVcvx4qKhXIG6
dBAThPUKusdK7x2SfGrZwUki0oVM78q+s9VJ45SSOdDgmFsGST9fiqxNUKAN8VkrB54lOJqzLolR
oDm/k0GXoi+tP8iN+wNEioVQJZ1xmaQ5QMPUK7MXEwuLeS9M+UqjfKnKobqnl1JdAsX1sa3jmYrG
pPJSp32ugvq8dA7ev3t/WOV/fgOSBTCFMD1EnfL73SvasOlthT5qOeu+1hRPZdfXq7h8tOJpHc3R
syIeLfy8ZvyDockHn/6XvQKODPYRmBF8h5+zxl8enTbv0AkWerajHZiuUq0afckF89Du9LtGMTZz
Y5W+lRfNOu/TjwLg/oBf8Nv5eAewlmth3bnWgijol8vC5ePHScbrCNZwk4+xp1X6g55Uj8X8lres
EMiWNkbsx2Ph0UTwAgvz0085lA01nWn9904Y26qFN/LBvfnLtk2cJ31iDU0BwrirNwsViKpWHLx3
NYrnrqUdYiUMUVLf6PqFT0nEQGS+2ZLNUSP7/dFKZuLcDftr15VLuMVXSNib97/T9YD65yUDNWe6
y6Tlf3F3HruRY92WfpWLnvOC3gx6QhPeyUs5IaRUJr059OTT9xdZuECmUl3CD/SoJ4VCFSBGBA8P
z957rW8xpf5zuaAyG6fCLlkuWv4cheHjgLGb3kjL6V2TH7B7NV/sL38Nnj5e8sMzUhkFjShq/Y09
S/f6PGD8racfyxS9k/0tIwwoL8mU3xeDEdKJ0HW/sdGOY4AgjP2Uqml3qcdrsrzVpVsjNsUXQ76/
Jk7XzwdckfBtYnlt5eNAvBFCoLC28w1y7cFFWKrfzV1/G7Ouqk5YW1iTo5tN+WVkzkzObnqz2GXx
okeKwhNvSjfZmIe8LwiNJj46I01oCVFjyTgtr/p38s5tb2ktrAdDZ2ybJm1v+5KYH6EsKPU6lFMY
a8jzDbPJ08wkXZup+ZUw4ZNmLl+SDf66y5MJ+Wu+/tuTOqACz0ulLDZNER80YiLID8aZR4YX/Qfj
kjLFpAjWY58MBOFXFUe5iT6SVyVXKHHuqOtEMn44dpbfZo0c7UpNvy1braTrT7SInisoPLKMNAXZ
0hdPpuxmTtBFAfLAdBWLHi4redauVjf9NlMNv+n15bHti1PcVV89dn+Pl67KSoYAjLpUtKUfHjvq
BRn1Z8qkUwDHZ2OmW1X1+pMhpO58lXgO+jK9aRaai8ko0ZZb9KDQcBtrBfGUMVg4XTm+3f/nTx5T
dsgp1DmK/LHNHBdtpCSKVW8G3Xlc8Fd1szk9hKKmoaHG+Gazyfzq0bt+0w+vdsVkBkF28JXD9XED
iqmN0tyU601spAzThFq6wqiXNdWLtII+OR1+iQ7ijuzMKWuzYAydaKOFOloi++sb89l+yMiTkbrF
L2F+LGMGeSLsSIPBgVQY36S9eEM0vRspCsKh7uVbAkGIzmmzR8JY5NUQMxwfU/HSkLe12ORgVIkc
uklOjst/fmss1HXcFaS25Bz/uSmGrUaw7AiIA33T5ipoDKRsCVdOhZa0G2dEt/Sdvro31532470B
qUhGCTuPgszmz4tSwyvZXNLtr6U0RJanOTvdjm6UpWvWLFRO2ZDLaNXfqJaITDJC+Bz//rWvV/jr
EzAB1Cm64VJ+XB3TtMSN3NsVQFfaE8uMP5cMdHKIOANDqKcv2yelVwKM+ffrfvIOUjlpouI0wY8y
Cf/zm09IkDLK9HpTSZnh6eEwnkFSByQLLl5YmFfIq/LFJT87qIFf0K+TbxgHXP3Pa+IUwIjeILjm
SMquO1Lrp21KL0yuPKQ7K6ZXHflqpFWIhnqCBI0v7venXxrFKJ/iquG0P7x4p6nObSUiU02ejVUv
5peEZUemSPIymNkNipDyi9r4k7sL4eWKpOacTqbxh/Ul8R6oNB3CS0bmzTrs5XjTdjbqXDHKW+ot
LENpf/haTfnJQw7TBrAgBmUEDh8n42oDMSSMmHxS9C+eUjj5FlmyzhM+NV8cP68L5cMC1pjcXbsi
gEv4Vf+8qZicFGZoOZNUIpg8YROoACjFjwyDmgAD3RcnBf2Te6jRHb4KKHT6Zx8XkTZS4A6C/ITI
0Qjd6xtlq0ylea/1S3Grz1l6CgfLWWdJeralDoIrKkzdFJKL0u6bGBDVzSeoucsqRlS0KeVk3XT2
eGNi0gryqpYPTk/FM8Acuq91AxpdZTue0UEfShYbQIkxmSvTJMQFheCW7VUEg1Z+n+KYKMJ02Y/G
9Do1ha5SnFLQNzC0XIUR2EquyWOqO1F5ZleovlzhbqiGaVMlY/W9NSoo+E5R3jFb/ors8Qn2BOgt
2byoy+jQ/FUhkHUgS+OUIXaRtYgjb3puzchPecDBLSTutdWvTN1pXKqXura3avduh1fdhAzaJMdo
ZNHD+We3/488PP9X6tsfNp7/z5w+Fo1DRDAyER00XDUFI8xvG7f/2r3+1z/EuNNr8eN//6/b15LY
2ua//GRI2qQqf/f+fPqn/nEBXb0+tHNhnxhsA3AyOZT8g5az7f+GKwcT5crqhGXpsAn/D1rO/G9T
AzbHu0i9Ooiuepv/cQEZ/42riO3EcWBuXvlE/4kL6LrP/7ZlfPYL/N7sUKtZUuFYzJvQVBnkAzIn
afG3X+nyzx/7nYL26SXwiGBqMkzOoFfp0G9HbW02u8EcpnmD15/KVL2JM/PHv1/iw8b3z7f47RLX
j/DbJayyGJtpwlEakQ1SJc57ouLPs2KUmmbs//u1Puznv651vVfQOrFPkbHw57UUu8NSq+nsFnX2
0Fb5XmuvA9lx88VlPpyH/rkOVrQr/wd75EdYMppxZZSVcdpodd/tIeHsjbh4tXrUYAOzc5mcN19U
EJCy5tbsp/s4Vbw+1NdRpO8JUX3tc/VoV5iSqz6+mfEaRFbyg4qbNGoJJYCsHCaG3q09DG7XJJdY
mm77FgtJKbqEqUyLbVU6ltdqeExwpWbNoPiStsBQsb7VjvOcDM5+KmuiaYe08kcyXYzU3LLtQejR
TPIlLOQtjibwQCmpVzrKXVPWxKhN4TfJZFL3xc/19zrmKMFjzE2hovjY9nGIwyvt2Zg2xOvBv20V
F9HpYU7TL5N+P7uQznVkMG1/k8sdbannTtgTgLb4zoiYATqh82YX6rMao4Ywv0LdfrK0KVFNKoCr
+BNN/p/LbTT4CosUThtQI4FWCsb0jEfz3M/Dzvv33/CTB9XhRcuaBgDu/NoNf3+KWAmoa/oaCc91
xF4Pm8pyvrjEJw8P5xMNjiUNMiB3H74NDchkXLD3buxRW01IEjIEgENVfCFi+tWj+LCtIbtF1X/1
E1LEXD/HbxuCDGxISIU8bVAPE6ZciXM91esIGwfabRRjdCh+Gk7sJ3R7Wd+p19vTwJGs/tHKxYUw
3r055iuz6uwvSqtf3eN/+2TX+/3bJ6sa1Ev8/qwfx9m1DchXhM93kyGYQXdYHA3GeoS/biMFxv2U
bPVch6NUNV9Amz+717xFeP/8gpp+xA6rg9oUWlTMm8WsSQtX7hDZfuWL+2zpXqWU+PegapNb8edX
RZEgK3nTzxuEW7l801jnuLRXOMm+ePY/+y50OxEVUs8gefxwnd5WemKueSRJYpSSjS09//tz8dmi
1WmgoNLFsat/bGrHY7k0nUDaxkgZkVUcSGF4mkfrC43kpz/Xb5fhnPD7ygj1crHjkVdxrn93CL8s
E7wSNfrBSA+++EKfvFsIvKBJz1dy6Mh+eAwVqRpaBcHkBqPIkVQicuUL4zTIxXVH39hqjxaBBK3e
bLejmG4SKX7nccPgriMGt/VlMynNHqjXK2Sr20Z0TOYNo6etj5ZNF80Pm9lvrA5AzMT8s5WV2HXa
4eDY43NvR5dE1b6JZVhzAH8QCh1CDNGam/dj7GtDDQ0ouiF3MHE7jO3B1Iojipg3Mcd7rPpvcQE6
K5K28CpSKBW9a8XjioFH5IZx6WvSV5viZ3cFABolIz0yEhI+LK4c70mTVtwVSy5+MCfcdi3ciXqa
iMitv3goPw4veOfTDoJjxTNJA5Yt/88lYGC2SeI0XDbM4QdSYhmu1YazthplE02wvbLkaaHvgapF
ee2YI+qjUn61NrjEn/sTH8HCtslcBne4eh1x/LY/GTNTVyRmMj0peT/QAmFQtc5N64sd+u9n6o/L
/GpC/z+4zHUhf/w2gEWxRAPYZoj/4e5FcWWSd5tw94gMrtsbqdsaBdS8djXVj188VJ9cikKaU6F6
/cfHhZIotVJpwlg2ZtJ/L7MmcBLoflCj/+PdzqJdYrMXcSY0OfH8eYMUEQ8QaaZl4/S1m6kKMJOv
hiJ/b6hc4prAQ3/GUfjHn5cY005nI1oW+gjNeyZkRu/9F62KD5OyXyud7DuY1tdZofZxmVnR2MzA
UeeNGqrHZDTeo0Ef3XCxz2NRPesoSuDqKF5Y5fUXR5BPH7JrdIvySx//V8xNF1+BmYyWNmOuM7F3
YKgpKIedXEdS1NGhINw4yCVlZ+fxu9ARG8i6/fPfF8snvzAnOo5AJmaJv7PLilQ4OYxleSML9RwP
2U6U+lcBGvRrr6XVH8v/V9+fxahdf2TsbH/eSJVc9FrS7X5jl9j2tMoXxkpRfrTNwWCjrPpxM5Ur
e95I2sEEjJKLwFFuQ5m6oUGy9STPr0nxI9VdtVmP5Y10KdUnlSFm9CaITiVZGShdFEPz9JGCnXOY
vX04rH8xbrd083ca4h/n1Unmu7wv91pJVO2Q96AG9YVJShtuLSlcw4b1TZWSQ8MVll7DuxgNFYpG
unPzLq7DwfBJ/hlns18PmYdHC/oilQ7mMwtjRpPqAQ329azgxCLlvsB8OdXkQWAinTo/7n8I5FBD
4bRbJytqXqglnhm0eGHpt8g+JU6h/TrEOVfqbwg+/RLHtoXMAaaSW04AGUPM4oZfS+gdiUbV5X0d
R34h8SGNEk15PawcNaU1Jbmx1rgVlvJJlDjKO6KxjZtRLQ5ifEVS5dl86VZds72vyvjViW7zPkBm
/xx26m1cVqgECImFPAHN0t5gad4qqP37+GhW70m+bcNnrBPCNfDaO0jRVEne9oQv2BLjSqXEyUzu
sSnQFIYD7HWEgKPJ+z1Md7JSMG3GLN3mqlvIqDv0bC03SY1RIvNrhn1eqjNTZARhaau4su46DlIs
UU9DMMLx4SErCezEQjJbpB0ZkwKm1LK2PegAytAnI6bkzjyh0ILbWc7RTmjSDTh56nNMagXsrJOo
b8foZxvGA3VkG5jVvJvb+PoB4nWHUAA9a+3WWU2fObnPEu3gxDiw4gDtMIXIGHTEtNeAsNuXKeoh
RA8Psa5vjfzeyfQVWRQHArjWJFD4HbHGZXhvKbqXRYtXNqhr6kNKE1RHaJsDY4hYsNVEcvsdDhlP
6aozAWgbZ9RXMWinoZ/WkNFRx9f37I9voXMgFsmHQXCGvOgmyH9RnFZBl6zBdZ41eKXuTGujtZeT
WS0gpcgExMyZwN3wNQE5E3sn+m1wFZkHICMKOxa4CHqyoEVFUDkRHnXkG/Z9GwVc1jBeoupGTD9E
ryLcPpJnVZcZFTt2KKR+iOn1/lgitoz8nhnFwLtsaDpXE29zf9MXt4W0saNNYrh1tNeqczRrATz5
xniNkqNae+K1iPUtLtah3gl+MZHjvnqdJwybpIhXNqK9fYJYv/3RCAW1YeYSiVbN92YG/cFcKcVr
a98j0k8SZH9S/EIdzMiqRjt1KctXRTI9VT3rfejWU+TZjm+LdZQbfhbWpwY866RWK+cKC1Nf0YJ7
Wh96UalARFM8yzhM3GgrmXfSIm8cZr/pZK00a7kxynu1+IkDdCNZ21I56Ke0XocNKYONa7dh4Eyt
uQY4gINiqpdTp2TAaSUVuRDGgqgTr1ohH4codDZWrXF2aqOCUKbFHw38K12c+11RlWerrAN1mu97
A4sWYoC9JVp/kQcgCBGFYh0VWaBP9uQKS8lWFa+MXQJCIVj6RHzrR2vXDRyDu1EyXWmMtwO9FJy8
9rKjJ3ib5mm0oqcUe2bKZDii6msded/nBp+Q2ingbxLHYoTvYAAK/h/OEbMfxSZJrMWTUhW1ltrf
t6b0wpjQs/ULeKL9opTfUlUNYhvZJ1p73OtD34N9QehCUHemEB4fEp4JSQIoOTSSzhLl3ZI2h4gY
B1QHzexJUTcc1CyR3Ck/m6XqDR3ghqIorEAqZVBr5YaYUmOTd7XpmYkae1nqHLssXslm+BhpN5ba
3vRpdkqlyTOww4wSzhNnWIfW/NLPMWZUPBjunCaSPxcxCAtgwiPLWo4G26dJ8ISM7HVSJG8slW7F
gHriyK/fqg2bVdapW2qGaYy9GN/0NPiVAfp8mQk/rDp6V+hgx4hsX3JxLmGRfTM65Sa0GIrqBpK6
NkmPTdhvURvT2wRw5PdQccQE36zUzBcnMo55PV/MSXuRh++dkVxSIR4z1dqPDah5a9BcVQBBNqbh
u5Ei/BeN8pDSIHWH1ngfxQs+wW8Qy1iGIfpsdfGQ/N9ktbyfBv2eW/cTcvAD7cH3VvQGt17aV9KC
rHI84jIHatOca9PAWdPeEt25yhXME/HyVrRG7arlwralelY/ME4hpUbWan4FRfi5M10is3hWZgJA
OurEgmdgdvKDnQ3bqUg2utVvxxJmnhWK/SiMl76rY17E5c7ol/ci1B8YP90ns3M/czr2zEK7F1a4
w6eygrl+U6WmB5v9Z5xe9RCS+lZfSSOlepltIpaUKdwURNApCmtqckrtUDmS5FmVnHiZdX3VxmYY
pM54J3d1tRub8raK8NXWCrCTUl0bs7TvrCwONORHuCB7NEj5aN5lWemglSTJKb2qxBy0F64DluZs
VoQ/Wpa9jnsCjTplvA9b9SHr+84duupQFNVLGbNZVEhiJKUqPCCLhZfXxV00ZW9VJh9CB2h73zYk
E4n6O0kqgyspLaYNvW3cLJvrwLKqaI1l9TacpYvUlrmbXmeCS9S6SqvtYgkjGlpVF/OsHERlJ/t5
361sOfawyiGo4z+K/gY+cMFOqPn07AOVx6VVJtU1dVai2hgDigp72ywmG5PCWwO8N9mRvYFwtO/p
voy0qaIGG9owPcSd+qjmjWegX2NGZj9WyHF9WxmJYbrGA02jjlFT8hOOVW7L630ump3cZluJkSqv
HHMlhdFDrkiPyCUDpaDHNi6OqxjVrmtGpJ/MutqUFwaNmTrNL2ooXVo5v1DZb6UE1YO+XNqG/NIG
wriV5M92Ku8SnW9nDqslTbnVkrKRxvKuFlMTZLhhVbVS3UZoz33Jw0k25T6N894TMii+UOKXUgel
2MvOuO/TCqGrAISQRQSWl9L1NFECaLJOk2Tvoni4KfPlRxS3s6+nCHPqifOrHj0XFfIavGNsiC0q
SpIXXanF8Va3ueGORt8GmWUiu1HSpzgnnzTNvFF2TuUSPiN5TD0rGcx1XqvHLMrPoSGu5kJ6GjTT
73uNY93UGR7Gp1dMAmfVHDK2Kfmm0IpTbSH9EHGDYCZNT32vweh0dK8sOUBYlXa7aC1XY4820gCB
FCCR/Mh5HMlnNj92BljDNs/OGCHvjMpIIAn0iS9mlLKc3gtWrnRrL3T001pzS2c8djVvIY67cmo8
DVb2mOq56hFmeztkQ7kqUHjujGwBC69OjVeFYFTUMAJn02FFVDdz1up+bOoB8XmbsdXeStX40WZp
58lYL1yAb9s85vXSR5WzK3re1dcSwQuHMNppMN9WDMaVvV4NDY198BKaRZhXnqyRAelALmYOB8DB
XalZDnjmiQg1h/tQz85JP+JcVQNMNEd438PK0I1vUievqiXbkdDJrWPFkn6j+3knG2s1AgG/qJ6M
xE8N4y3c6kDBYtCiqecj4UjqIo/h7Qv5fCuglmea0l7W8EoifrjqrCcpAqtfZNsc6zKZOmBFWi/k
HDpzjIvBWbojswdBlaL3eSDV+Q8gaWBHqlVs852dZJdwVLdrfcfSCeR02DkD1prBSb3Frh46Y1kV
0wzaPp33Ma2mvNH8XoTwSQq/URGJL9PyWhbSMSnmV8XhpVCCh1cWoPHqclS4tdAX1g1GlE6aLnZr
PEbk7FRLeiNL38mTqxcqAqA824XEMreo60ObkCOt461MKUFiemRIj1d9N67QqqzTtnsvpfZFdQxv
UIdtKfK7jgCDIeW4oBx7pV3Zkuw1nE1bJIGFM74sVo7MuA2IH/HlOgwWhcSEYl0jahPiu5hTX81Q
OY4ZOqPBQ6C/tyblriYpcEh7v0izmx537qiTdSAoinGJy9Lr0hc7RXm5sghqc/Qz+01Yq77Sd9ry
vCCZFmc5+nFNzq0F9sXR5i7I97aNQbpDjLBsi0IEeWOux0U6Z5lznAw50Mb2VCukozw4hhbwog0Q
gR3sWrkFA7Dph+RHoW7L6jFEFxpbKr+o4H3o8GjXeWC1lqdbIgij3p9TBQ4Zyv4Of7ZargzBjwc3
iFxZh3eI2C5FvYb2AzR7si9aTbzJ1awdc6Row96VBmTlY1+/RWWzxzR5gMKwmchpabXuSYzR1hi1
joKQFAjOvRbsD/1qUlTXVlgcu56tl+aw6kYGjRlp7jzJALNkO0zS9Ilw2jzfRXZ5o6fasTXNS1b0
K1IEfHp+BzOJbkb8cU5HJADVGezz9yzub2uhbpZUfe+J126BNe4W4P7TNfdwsunONmz2XR3MusUN
bvZD7ZzUBsVA2T8lA/0uvL6aUe87Z3ybFrobJeZDFOgu8lLZVZafZUm6Awdx5P6I8+OzMKq7nnWb
R6ecihHeaFMQe2c+lPK1yBjxbJSl+VRnTEZ69JB7zB9re0lYrQ9OGXsQTL1ZbEzsjlW9PMZjj1FC
vktziWDyLHk0hbZG9bNmKrm25uqxTXi/NLHsRzVvRbNfyXO6KSyJKBecmtYJhA3WXNRHFMXCmXZ2
wWO+RHcTvuOljXadpD2wNfjKZAFbmo/qWEJWHi8MTZkxe3apnvFOMXPOL4szeaEu72C+ruVBXjns
5pJYM0jz5sg45EsD8UmNfacXJ4KGSLrCx7TE7JOSs2riUnKRZPlK3m0j3FaTEvtDyc0P9Z+QmjFl
YuJwpXK4d6rkm1GkB20Yd4aS7XW5voFVCUlTWylZfz37976VZLfyMh6qtllptUkwo/rWSuNl6Ar2
OFOcsjo7SS1+ecC4q8UaBI0BI8h08y0xmocER4w0QKiIi6e+7Te1sQTW0j0q47ztQgkkkLHD5r7O
r+7i7GpsVnaRjEMSLMhaVOdSlQ8Ynv2JzV9Sq5dOq/by3J/BvQRpkp5wCIHX1db6MD7ofUcyBaSz
8PoSJqhFpC8shJ+dPp/TRPA2W9og1El5T0Zr4siteFQp/iBJ64XpVajTcJVsPK0wO0mjmEExErK4
x6vg4y9G+B2X7ug0u0rAyOvnrTbQyR81Y43/S7itND+NbXeJ1GnDZMZPFQS1wlmb8nzppfFA6kNg
ReiPxHSbUOFwDODhTnRJZRRu8mHFviBMxJZi1sSYuUlbnzNZBjeSj4d5Cfnj4WU0Inhx/KRyG/QN
CODFqX4AQAjK4UYg49frEDuyetTG8A3J6ItekzhUp93JzmdOdbN6i+mcmLmxfBUSTDUlnO9JydOD
ok1woFvTvhTyBbfAzpo50pTKdlSILJrNQ7+Me5lMGkxW1aqZzENs47SJMieQKm5rPW2RHCfsS2Cd
u9gn2hVueQ71YICVpUJlnGveZvkuT1rqyCoKkqp5VQxCVjrZ9hxcxc6EhUvwBeUGVHObrTr2prIZ
b/OyvO2ANpc5T0CUla+DI1tuqA6+BEDb4pwm5PlFn8xXcP10s5rTyKslTppdEUrPUTcFsOgvpR6v
TBRUnR0HZsozgb9cFdeEjLxdl7jLsc6t9DHxG2pcnRMKVSrn8fFozNFtzM0Lk26nZ9LKnsiSSDKw
Au370HKKtHX01+CtaW+MOxTL26VsX+TY4lmEwzbQBZyVEWfLfGtN+snq2z3QCrg5agZkoix3gDBf
pOYdExpbJHp1NdX8BRBmjbnbIpmksRE7xzKzKAsuRze5kWyuF1vdDNOqXXaaM3MjOBclpXygUeRi
FfWnFrrV0m6S0DyY9HcaO7w6LbC0xH7GpIHymx8z5AyBVQgzrM5oS1FP8eTcy6PjxYmyT9WfYqwv
eVxc9M7e4++7J1TqNcv43am/IhnvLZucKhW3UtN8a53WcdOwIQuNRn+eGsOW0QPTNGU54RjmxSP7
sR6txpw5WL3LpNBNtXByDUn+po68mAkhmjvrrBJfQqdv2UWLeijCZKvly7pzILQNcmBI4wmmroft
3AsVbY8JfJtPEe1Mjr9Doa4QhjervLuaQhzO/jqGJdkojr2aYcuelypIJM7R1IuSH16jp8dBeom6
9FHhnLTtjWw69FZdr/ARYo83MTSIrjY24xA/aurocLLuQJMS7qZUxve5tSSeWwTXYSGQlTgV29nw
Ls/i21RKz6VEH4VF2BTDg9xZXjF3lzjWv1O8XoZyeWQjehhDKn2UggGd79kt7OqAhnpeZQMAurYm
FciVoH6sddt+BsP8Njlk0fa6dDGGvvMZtrKnSZG8FdnwNhbRuu35clJC3hyliZtZzUM/yxsz1LaU
p6VrCBpo47Kfy+WiyvO4xUdIgnory57WcviSHPZ8pfVMflnbig7TjG1uUbWfvZQOflelTFeHE6F/
95O8nMA0vYgxvqR0RfmYLZZD+nUzIz8pI6GRXLDFJcBlxfQeD1qJDCjpnpUyOU9Z+VbO/XqyzVVJ
Y6BO20er0J6tptrOPb78SqcNaGzCCk9xHm7DHgO1TFelVboNgbgrSn76sLVYSZJ026UsXxji93Za
34ikOUblciLAei9a45xW+tEwe8xU+aNYnAejAxOmzrRyrcn67gzyeWwdzoMV3yY9sTWssn64TJr9
NuYYAynWzZkOGrEqRUFUjREZRJJZyotYsr0VdpU3DKkPXuVBs+wHIK/LatD4NeG8tOsoRHBkWSVB
BoN237UClFkeRJVxCVOwyl2Nv1upty1BNnwzY4vr59mYShTd5ioq510ij1jOYWF4Uyl+JsL4BrrE
J1chyOvq0MbETLHJZqaxFX1Ptd4FXSo1XqKWJ71NH20r+V5Y1crqosfZYAROYUwURHufq9NDa1uP
ukVb3tFiNrlrrV2yYY84pgHhU4TX4H6GxLf12PBqyXxTrDTimzcqHcPszm70APJZ4Nh2MOeQbGzl
QLfkNg+zIyRbEvEQfFVCHMcWdEgtEfl8HYaMGGWLcNorgvDVFL+m21CW+VktgjIVZ7tixGY031uz
2fNc0tCV2+gBWtylrSbpmLehua+pFDWjzz3Dng7JYnICTAuavLJzUFPzFiz2Ke2VxK2kkagJaS0g
qhqK+Ga19Z0eZjvqlq2VG9sKIRgwi6J6zHRtZRoxYVT6ZTGjh0Ea37BkqIQrtwuRA/pqnFC1MoNm
K+mmZjfEZbvOGuUyZNZ9Kcnfp6i9FTODOEUydA/s3UGnrZkMy1bvmnt8ZH5R8Vfo35OtFoGpM7NL
HylwuAbdk8ouvRunLqPBaNi8kTicQU4c1pnOoGcqygOqlNwzaacmZbVTUBC3hJytw2XBwGNbML20
dC9qcinABAYjv6pfpTrV/hhzHhiiCPwQcMo6UTHyObniOqW+7kX7KjDQBEpDmUrtHxIoon9bsLJ6
MC3H92ZQVbeK1WcrGzehpkeY7drcK6zooc2K1bxQH7bDI7kCgx820bEerX0t0pVuIRyXZgsSDP7o
sS1M8hjEL0ChO2gJVM1yT+PwYtaMBaqovF9aRcbaR3+8MQ28FJ38wLl0htpABTbL1ZbK686KnIfK
0Y7j1J4itgbcumV9FKKfLiYE9d4S33VIp9xGhB0aJuSy/ZZWnNCE/FNt+hty3RTEaAQQEE04MOxa
OC9PP5pFjwKysvh76nCPveVZtqabNFEfw1HyTZE8MRFtPQIXEnAO431uZd8ai6c0JFKhMIYnOUKX
DYaBKDJiDnOgw24aFwdliu7MPn+M+8YOJqXlbMxxRuclV9RzkA7Fvl2kXVQU50hobjoNN4vW8C+Y
tP1SgVel1dWLFiHoMrml4PM2Ak9JaEwUzLHwooEYOUh0gFPigOpqF/fLjSMrPJLJ3uZMBBs4382q
8jYAAgFLZz8xavSBvzwmjmBfwZpDyTGGzJMI9Jt5s21l2CMY7/O1raYXeuH8XLlB7AVTpMAqGO6Z
yvhgZSoNJOfG1odzvlinrMiOFtL3IYp/dk1vur3SBfLVFWY4VeEnSOOXNr7nOHmxZumU982xSaIH
a7TXUZbexND3QpaYWRrbVB6YizozQ5bSctMEdD36TxrI0VYvQvrQ9RY1+RMp5G8lrUslnbZpIc5x
nD3VMzimbNgZVRpuFG1cF5V6sM1yndTNZQ7jnRiHN9mxnmedMjsd11IsHaFz7EXmPJtL9cyR98DR
98mem72uSX6nh7eJbK8LtlicjffkBB6nEGe+Ij8m4MCauN6SbOP2qIk8vv/zWMtBTgAOhyp6R72F
Jj8jvt4mFQRc6r6rqiBXinWT0apIUPgr4Rq4mOVC3t3VujgvlX1jZNG3lLQUVlH/gKngMlV3TgsD
UXuypOwCRORFp0URW4C0qP1CgiODPESLIKw3Q+YQERjt94GlolXFutfyXWjGL7KWbfXE2qfSwCSy
WBMaWrg5D5UY87u2MR4JHcE+oyIMTcS9Vio3I2EokH7eC6O4TgbLPfDx3VLRto2Xn8OibAye1GvN
QsrOFh3Lzgmxdyr6MTejJ2WsAxPmiqctgHgb6TEMu1vOdQDYijZAQxDSkyffEby84zDjXFDreq2k
HMnVuRDm7PDb7UYsU5gk0g0PMAKL4f8wd147khvptn6hzUEEPYGNfZGZTFuVWd7dEFVd1fRk0Jun
Px9HmlGrRxqdAc4BNqCbVneZZDIZv1nrWxddzajlgBTVxnrwgpu5E29RXj7zme7pD+avCTq4r5vh
9egm38YFipBmQKwbKnAvTj5jFe1FbXyfPXWxGMWD6jtVBZZ/pTnTConTAdob3l4EMfwd5ItKPrAE
QSEGr50Du+aJlFoD63LvqBr5RkHLeqmuH/qmO1hdcB4CR64myzvb6fgxJsU+cb1x0T0xuOCZRvid
BZGDNQ3SvKtaW7VhcUaVDS9PZ3JfZhfLHN6i0rjPW+MxHLjAdLwNhyt0EgG0Ly+qp97Nb6syvddy
A4pY9waAdTeW9c0MeBqX8tmNq5NWy5c59T4ZLQiKP+BY9tDeG9YtK71LnmVn0xt2iRWd9C69UkBM
ey3eNiFpiRl36qSb/uRa79ME92EG7Zuw+XmftOo5qllXZOVJn8tL7VovE9ULE4Vrdl0kUeoMZYh0
XElSK1cys+21iIPrIQWrxsz0mXnBhvDTD7cxvoom2pFhdJic5pY1wGtYZY+Zk70i4Nl0Rer3Kbkx
NkBzI/BxIq0nG4orM7FVgS6FrAjHABEX3ShXHpqWcV8lDkk83GEsfgI7689OAVwO8ozjZD4fstuq
LXi7EeH1kf5REsMcQHHovHo76xPTjvYbckNfhOlOhWyD4Etf51XzYg3TmyiGtVXI+2i5/hUlWOpI
cAoZ9jLZN89j1W+nhoyMjPFyzYYCfh2u7zS4c0E9bwKteKjH9JGwA++Aqf6gOidbt/H12CTvSU3L
1rFZHdroVLYGrrIRI1sri09s9v7UumvkaFdhW+/Z/J46E1J7mzJBATFXjfOxqlpGHp55m2LwS1xg
uGWAZYntrqcfvNbcG1UFp5/VgVPyzO8IK0r9fOievDK5m2LBEye67zMFVtO2d7XU7gNJzdEzFeYZ
/h2eHCYjjcbDw83shG8lolijE2oluuqpMkFHwPtAj8MloCuAVjgVPEbUtyF/IDLkljwvEyTsuDF0
x7mqG50rlmZq09pVuolFe+hZLyWddbLoFrJBB+dHK2AAe1As8zR3/JyHo+3d0vBvuwXelG06nWaK
RFxvqPfw5zM8zRu4KXuztk6DAcAcZCuJtwAPMV7O9kddZR5Zol7ig5IlAt3Z2ka2ht6O7fhDWRq/
fcDqogs/NetON8InQsTXfXzPS3mJlrOVXOndyGal70EWB+LdKbTHfJbXImv3mV0/uMA8S4FOWDtX
bnRAm8VKYUbj082rtn+PHZ0hTPuWweGgay5XMasTr6TmrZLoSpTpoRDjA7+TvWIVuVOD2LdLeHn5
MU7Wo+JBvWojVCP1Kc2/L7M21YV3lUHvs8C7DaxmcbkCR3AsSRucPe0jqqNrQOm7islFkhvFemBC
qFUjK9bqLWrat8TQBl+H/76yteqrDmhQLVYXVlo+mbr8PgD7a3mArwin2qe8P2Lqv83RIpdihpwV
4ExSi2RYOkOP7Txc3x3EKd+sCt4it1hN3XQc++epiPdAI25KhLwbRBmbEtZg75pXIPWu2yDyLWaK
ZJTtTXP+Eo1H5OoUXzHQeZBWdlDO5HdBuoaz2YC2F3dmDtSKUj/a6ExGgpbCLedIGD1xjtMUIJ3D
UEcAMsT8sQoH4yoR81s0ytNUjowVOMiiuWaGFcODApbTrjhsXGs+l9j0xTiCdCfGgZZYraORx4vl
sS0xPMQWhtFeUAKQIm9FB69yjI1VetYqMWno83D6TkbBUyGNexArw6qda3fFnvsx7XUe9Xp64xjx
kfjcG2Lp1jBGrgZUMys4lDeDGj+7NN33k8EVlp8CHL+mBh538/Uo+3HVlc19VHQvSQcay5xfbGsf
dgL4eupeDU7MJD36UBEDU02+dXF4QmZzgPy1T7xl5C0IngfHuhnm7goww5OKyBxE77WOs+jKqsqD
NZtHK6aSb6qDaLpdlJIW50WPMPQBQ7H7bGjaTAVYV5Nfbo32zfCHoUwOekqNKeMamCS7jgYYYeOG
axVrtEUUYEFfPcXdxH2gZgLRpmZNdtwqiCF0sJL0S35jIyXuurf3vRyYhnNCg08K/SSq5i1V7yrX
zXc9DtBrq4msk4oNYOh4lwE0ycoyp1OeGqchyw/NAAZoNvfz2DzmUxSsoBgfGczvwwH2JEoOXWA9
1PFAN4jvj1NvMrGNuLLNAoMSRb0BYnACBfHYGQnyj+mJlm1tC3NPIs0mc1lXitZ+cjqNwsDh4ARG
CPR//mo1k4f3vHMQGAM3uglU26PAIKpAZ/lvjd06GGc/hRextsH06SkCFoIMV+FMIBCFBTDy8GHS
mltB85Vl7rVsNTJ+SKurczgHlZe/4CneddFEpsec+0JvUVKplgBpp1+NQX6upnI/TDwDeradbT9+
WFX1YuhIFsb0MyftyhjqV3fR4I+69VikNuegzTcJVXiu23jYNjUzxzlqb0GhXsxFMces0276DBxo
xCkCxdicSk52q/XZ6H0OM0dFzRpFd7qPMCpOopXf2Xw/4+3f1V564CPEVIPNppW4iMXk1m5gHiOB
IOcB0YA1QJAIEdVEoW4f1EQVr6Z+G4Upud0F20KbnPJ4LinTjcs029yTMyoOJ8z3GV3DIXOm72Oi
f+tg8hLzPFs3YvwcO6JKUP5DZeW4XjnBxbK+yXYzixfhbtEvgMJ6rzWifdgDuCytpmYT6q8BlIK6
fybrENrUF7K6Tcw2oyGLh9E+qfVozNcWTGMwYAvmNAD9VPZ+BG0V9vw4bZ00WLvk3UyMMR2/5wGi
UCXMjKxvTY5mds4URKiV0M3FSyo8D07DuM7QiPUfQJfS9H1mVh8z0hihxdY0MXosfM+8n2EO9UTX
lOxwagYK205/pLcM41fSitk3I/8e/Dx+7nAXCC++DGpXkGCD/eCQJKTUqP7cq4Kp7kM58yR9bVzC
G4xt6/pgMzf6tM+ZEkzQG/lbhjDIWBiNfjjDcK6GTzd+6Ad0+ca66OqNCA4zd2zbvs3OtE6SbD0n
BiBUdIHeLbxCHhXVU9txtBHRblYjm8vkZKUfE1mP4fCVJvI9GD4DBN5ztK8HMMDhcVrixjUJ6ZJ7
9i1ozwFS5ohgjBy3hufVH6lZrUSjWSvai/U8XrmaQXh5dctp8dpoQMhKRJUjm3JhghywIFeOSCQ7
gCdub0/o29h16WcGCzgc7FtTHw9eae8ng/pFr7xjgB5Rm2lY9Jj2KH7iM7buE9DhMLM2Zo6GohIb
p6yvEtDHRs4NQGk/qY4F6MJhmhFDuD4xnXegibZFf696ZhWz7udzugGWRRKESG5CRLmTjHa1VjLk
IXrc9i6BIGA6Mo4NRRszmkPtwLkM+3uLA25C2IdkwxdugDQpPxB9CXcbLHXO7REZHMJsf+gZDwur
MA/0RzedeaTY6qxsl8Og7m30CforLPWPMjZo16Z4I6RprpAvEJ2aPmVjjuK1wEa+ML2DtkUw2TMt
HQwHPGy00gmf/a+yjAHjIW3aW2H+nsb1zi7Mx/+iBoTWyoRpj0/p3nLTYyvjv/Bt/KuinDw/mN24
ifFbOT9bR4QnctXH0QRR7uRMe9Iz/r1i/V99ML+3HSx//4NhI+70OrE9PAHFq2Ou249k9MO/8Fn9
60uANoLFEZ7AwqVwfzJAGVGJNjNx5j1vXkiFp/3yEv7fGN2X7/KtVBPDkqht/ue/f/2uiwv8d3/w
ixYf3m33VU93X+Dp2//5b74y/CqXf/l/+5e/+sofJoWv/P0zxxYVN7hsv7U/msrx/9hEf0iu058n
Ud5PWfT1Z1/2aw6l/jduDF03yXo0DIydfMNfHOie+JsHcgQUksPZ/Ys3/R8OdOtvOrbzJRwF9wxM
3d8M6CYJlVDeBGYlQewdRIt/XIObX8wHXL5frsmvf/7RHW7gV/+dSQHuFvcrkY+2dLDIuz8jKxkL
zHky8RAb56m6isc8eewjMZ1iKyH7uQeb6JAhtY2GUGNtNwXPeSCdvY1w/ZGRYvcMAAIyqeKRHRa2
BdaH1+Mn7cDnurM5ltI8cddRwJCvGpH/0KBTOqYtdExhMOJLFk/o4BC+IemrRi3ACj9/m4HcwwBS
bnchdzxaMTmLb9PJm1dzHTSbCmX1pWns4zB0xroczdTXBsfbWDhzbq1x9s7axMrPHjvGY8Wow1gd
LJ4YccJWGyZBCBefqNqmVL3P4DN4RQ7ADpLYK0rqIh78NEnjdRL3+ZPAzL0bI+9xFGSHjXzxvvBy
vkHYjPeh3TxRVDH0T0x3lwVzcuegVDq1Igmi9dSq675I211UJA8leB0e9RgkzUT2R1sz60uBa2kL
/3g4IKokJ0LrsotuadrGslnWh0JXEHV1oNu5JiFjV2V1XRdFdJWiIt2yr3IOTmgoVv79kPsWVNF7
awBjsQUp712NsL6vOiG+l4A4HizlBcWqlR2ll8eKgSJ5ScoMxxCakDtshV7Zh7IjuSbO4xeP8I9t
6A0J6of63aZvvjd5wZvYldWqLcimki6b8TCkGpOuzWTVmzveeauEgIiIyGFA54jsKEqUCbWas0Me
e1D3NQSTnYlMhLimcxxzZWpWEBO14g7mLwmo9pgwSzT0d4KfA3+ItPqsUs14d2fZ39ASIKJoZQsc
yh4utOZyPU0235LYq6HsqyOokxtWy8E2javkzbFE92IP+XhdFpSlUR0fWM6fKtR+vgynYkvHk249
g4rHmd5qkPh+UlQlP8KFEtjDw3M0vfPZkrVXtgmqb8x6DRW+TTTXzO5/rnua0hGE21vQcX/bulx0
hplaQKP7CpbVIWyXAaFnq40e2c1bOGYdqLOGHarfGos4tJmG2zTRfJtA7WVdkDMlCVnDaq8YHqz3
qp2+gqG8tHWg7tohMNYTQR6vls1A1iC4YRehCVjryqp3oIJLmqOkh9WMsj/TLcoskN6fQOhrfusF
L+bxeVRArP0qKIJjkgakIsOKX6mukRsDje5VQ9V6E6HE50Na47aQViLv6GwS30YIusE4wZI7AFX9
CvuatL0YhclCi+V70yQEAE0/Y9eOlw329DTXRrPVhyHpf1m9aYz2Tsqs44ciL7Cx2JYWIyaxSc9U
o7vhxsiuEmQxb3pNgQGuYOShwrIDLw3/WkgPFV0o5000Wc5VlBC5uoJ02KzpsNptLp3yOqh6mW7I
HC8+NbNk6hCz3sbS4FjQZdqIPleH8WcWhj8aZE5W1eRsJoi9KGVDpiRdFbrbrBmbU2dlrDrDGG3r
LMr6oKKZwSJiOxINyE3Ru/poY6BdGVKf2cBVTC402ziGVD+berDzO2mEL71X39dpinxwGs5Cment
aOSMoJjXkS3Qh2Ss2PnGBuq/8rwiXGsxm0A7fnWkuQDNW/3DU046r2AA3yaew9okYRgfjsxfmEo+
BdYC4C3cOzvswXuAzV6nfXgVGck1GspLVahHyHIHSVr8higD2gyPjKlRpeMTYzjFnMWBDKHKattq
wjkadWXuDBhGq7h2w6Nno7YyPeObpbop3+aakhvVJKiIocUh08YYbGd9d3aJ5tpTmrhY3Cr6r0bL
x3VXGZpf6IVaZWEJT6vSspPt9JTGUsbloY7keA9obNhNjdD8vqvrcw8gdGDa1AgyyC2sbpmXJc8u
gtudlYXhhYBJ/U4rKvv/H4DnTzE9/xurF2oDVnmc9n9evNy9J030HsW/q3r++XW/8XNI5EMoCJ0T
c/9CyfmNnyOFhZdTEr67lC+/8XOoXhxQAB6JWmT2UEb9Vr4YfwP7KGEvgdyBCEaOz0/lyr8rXyx3
8VD+3mMJnwcXK05Oiwf633nuPxTGid6XlhJA/ARhxJwfuAsTuuu6fbG1ZZ2XM0R3Ua5iNr2i4otX
epR/D7P0lWKt2U4mefdzKf0043jGTsaDLFfclsYcHYwFg9gEV52GRCUvOrZmombJnz9V0fSNJ/lx
ylsaqxpbiCp5TPXZ9J1V1D7FSgXegUDVidYYF5bZ29kmcIiYfQCk9RJp5FX3c3Gxx9fRab+zX3rA
LEPEh19r2rGu9HNrVCfZdTdVncQkoCwStDDJ/b5pzLWXGBNPtlaEhyI1c6KumnbxPurMmzYA+7Lb
Mq8nE5aQjg+P5dNnE2jk7BAute3yzDmmhttZmyrG37xq47q4DaYB7aQXzJ8ikPKzFll0DxDLTjFw
peoJuVG36VGj+iT6pHfszEhBFKm46fUZjFak2XTIZpfvXFWOZ/KeWTraeniDoDnadHMf+2KOwx1v
ldzUtX6LSunKS7Or1Ghw4J5tM19PAxPEjCiX9WTl1kr3YhfRc9kBm0ZyPWfjVtTjk5Eyq2eycWU2
3m0ppm1g2Yegr3EwPuam+wFWbmUl0U2ofcbTg5kEBze212wPGU1QSl9iQqmTVu3mmLDQergITFuD
PT5Lxoa4Iq9M+VzHxQMa6rD2fI6ojS7lXRd+VWXkB95ToIHrcZt6Ezo8TYv8MnVPIrZPUYta1fx0
zN7vOR+Z5W1QAx3xKmw7Nnox+plkNnfOUAebMLovQtRDS0Os+6mIXopBO7ReoFbOlN90NsOXen6s
Qw72ARli06lNF9ZPueW0x66Id+5inJQXGU+ndJbUlO13szFumbhS/DYDSCLL2liTfEeSQ27buFWa
3OUo4Wot9IkzxXzZPaHJvM5cV1vPqfB2IQGbHGVWeXAtOsuZKKdLNGKLNlKKrXC8ThsGkzOuvjaR
8R6q9tkY3fPoNuyK8oqI9s5AMzToLPObg9Y63+Ty4crijWd9Wa7+KfXvqSZ6lAnNPoqdXcavwlF9
pFJhtYqBd4iGZCXy4cVtJQV2jUzOuPeUdj0Zck9oTQ/dGxxO39h+nJP+FpFLI7L+LUhwJdVMg0KU
L+z2nUuoecGmSpyS+b+bYxhwuT20GUNsY1YxK58CvIZFcugX2k+CFumMEDS4yUe1jCLm0Uh2WsuN
h/TEWYdJY6zmnuGTbuc8X6II66w7A4oJzGgHI4rforOMOzVkZE/ptfBJ5CrRCcHi04yp/V6YSEwm
gupOCA7ji8xSi09EoxAkRe4+mlT5PWt6m86HBfcHovTgpMeKkkyn7/ETM5d+OHgtgmkRX9uVSH30
DmiMZ6SFHWCQa0Nl3gF2LrPVZUBKtQsyU8n6fjACBjZzO55ZqgqUyMgXRB4Ovsq1els2DdOYVGc8
pgaNeOQIwgsbmPkRR6F7V2OGvOHytBu709rXTMTRDi8nU5wSRtF1jxjAz6g41mylES4Zde9j9mWT
k8cRhok08z1MMpdmyOdNlgXxxkij6roTzRfEfywHnS22VqC1W8lviLOB/YjH6+2bYTgU7qCfUeAB
kWIuXzL2WvLWQtLN3gQOUD/plMbb6JDDZWgH+DyvBvAcNJoDund7UFyIzMZTnXgPgaZZ71hIumsi
qO3bOsSYQ3oakBPcTGvCTVgjgoA+2AVOvCTBDWjG0rhgXrjSDVQgRmFOvhNo+YMBnPrgJeZ87VgJ
T7BGdLelLiKitJwai5mKYzK3pJFv21JZ30OYk6vcbC10uV6zMepFI6AVVDfGGYKis6mWXsY18Vd1
0J03DA2zxVRf3cnAIn7T6JwrTWc10KbpIwqM2YdFpm1gT5AHIKqrNnV2HGTS17oQqQgL8LhmB5iB
FxsqGZIi0K6C7thW0j3l7rzpohalk+asBybzeinWZNB0XPPCe/NyTItlaHz1+MdYU3r5WqZQoI2x
z3xTiZKDi2WfkZfqPglR/w4I5xA+BdZezUPNzLQxfRZpNudCa9xVjq1WZm+Ja1KtjAdSaW6Zc6zr
GklgFnrIlUjlgvg7GWuglAS5TOFjOaNdFdwv6NOafd+pETn7EhOBOAPfobOyXNweqTc9EtrxTDYV
L9VA9mCLNNpVI6oAz+q+2pTniMUSrORk2PMAgOk/yQ1t0SXxZLm3I4fJZYyyXA1sG5uqz64VVPhj
J+Zsb4z6a+udkZMpv28FGzpDvbFUza9V79wNWPVN/I64bxEs6Wy/KsfRtm3kyud5JN2bDC9z/pbZ
OApJ2YwQBg+IeeJtqkdEBuNeRnpjjpg4mKgirsTMTqiGY/lDlRQpUbwBo18rIMJ2DUHNuormeTrB
Q4RtN5ZucYxdXAwrpy34v0GKqLyl1zyCADCZ1wrmD5oCYr1keqfsx7etbVJK9FV29irkWBWfZL+p
9OqbDELGABbOu3Sd4Zg2V5GIG8zsMi72VinIO4jKub/3KkitU0KOqZHq6aXzigxnp66QXnYGc4wB
ja/eDQHO9aTADGQTExm7BRmctsnoe5ZVbCFXnqM3oKH1jVv1k0+0kUN3HsKzLhbbkUJVQO7RjbRV
d0543n+6KuvgACy2tip3z/o0zt+8sbMvQzyoq7aIrH3j9Q4T+ZkAlZ54x8UH1g7EvHDKWQELvOh9
EXA18jKVHLKk2SrdubhIuKtaMKVCSl4q/UIta13iKjxpqTOuU8s8R8PAilY5rJNhqDIjGrajiY56
4g8jES77uCPlfqhirCwzNR/pHLdJUpFgwj325mb2bWTXZ5v4P/zskbYu9Xhkp8V+kAWvg3OijzY/
lOp/MLn7aW7HEts1LIIGmNm6tgV95PcT4ZAGv8azX+0htd8hA3iYw/xYeOVf/BjK+5/qa5f6nYE2
AEliuX9mVSEUs4d61Ctyj+bPuDaO0AWf/vNX8vehuWfrYGF+pgQVxJ9mMAmrfROIXSIR2FfVfOMK
76+QLH90yX78QT8N0YeynLUiGCss1PEraq8zyodV2f/HlD3emR9/zE94r1Yj4clV/Bhkl4JxmXOo
G/FuZp3zFzS7P3pvYHPRRXEj0GktvdEPvU+oF3WGkbGCpjLUpyls5VXfkN/797fn1wn7r3faL03X
jxP4Hwfy//NQ5vz396n8P//N39u23/70p83x777R7qtccK7Nz9/qf28HzU3y5x30ieyx4v0P+me+
6p/9M4ksjN2FAYEVbhSf03/2z5Yjljk+UFpu1X9M/s2/SdYF0qN91o1lYfBb7yz/xicd9Cm8bnvJ
8HD+k975X+Bc0gaCrMNtXZYPtrF8Wn64ezStrpxMkrecyVC/oxlgiGgSBq9xJmfUF+HsMvdqWUr6
P1yiP3hy/dEPhkIJZZ4XQ/X/0+fDLmjutKEr9kLGVH9VhgB33aD87c5DZ82Hiir/OsZ6+xfQq+Xj
/ftRAfxbPit8VJgYMC/46QV7szch9ivRjSKl7dM0OGIptfasJawTCCDt49+/TiINfvqJCOHFwgmD
Js1uTZo/vVLSf8yWklXb9cBZvoATGMFqEmN/LXQKZSwSfX891oUFjyWtgzVB5DmDP7uOd3rQW++t
EQzfsoylwUpOcEOK0cbzb4TmEevfRJGeIsosQolURra1RzKsTR4T9m+1NeJBw5qsuWWzMjvNfPey
CORQYIngLcomhAyk5WDATkr1NeQdzQvyAiRGbRDGrHJFkOGnTOJzgaR+P2NxZCc4zzCD9DnzrjwZ
h4GfuxN0zzTlEuZaBFzcpfKpNuY8hARFmzaWeZF7u4Z85Re76ppP13LGu3QU3lOC2HMPOoSLMAgT
rUEbTyBYGsPodwXd0sEbFWPuMVYN7H806T44Zg28BfE7t6WTdTdZWRaFH7ZGd9RnkX+HDzj5+Wg3
n2hRrXcnSyL0Z6Hsr2VQ1vsyN/udlmNe9/LAaX3Xw0EEsT0f6PE8uDLRBNgjFlbdIxFRisZgqlxj
5Y4511Gl0NGmgXF5kTAbISoX8Xqjze5WyyW2cbZQ2m2LS+whmxMuY8L+iNJWC8z3sTGQ8lZJA0dQ
w7M6OiBUPCtHcGgsl1KPRq6tnorsKc3bgAo26DH2VLI8gQNZnKFt8maRDIYOT0n1WpEKnSHAGrga
bsCY1yWxrd9L1WWnLPC4VbqWC44Upl9+BALXgzS6/Ja2AP0Bw2gyvk2JQ88a1WvKDXJpAieaNrZn
8A5WwjYOCXbsbIXdWBh3eqeaT9Ij2QxiWwaIUsXyHIgI5UieWOnNICzjWGB7tbbIYOOd9JiNo2eB
nRIiDeTGbdhgbqLMNc+yyodkrbqWm1SERj+sZYsUbweHTurA54b2kaGM/txMY93sgsxgNtAGBG2i
GHEaYxNW0oPrNybJMrGIzONMCOS8ymYlPnovyNaRMQt17AlLxXbYLZe4cQh6WWmR27lrkQssA15Y
89YgGQiwESivvHTYfl9Sa3LvUrP2dgGaXPypIZhRSWu0BivS3ZIsrsfwgrCsp61Z5GuVy/w7It1+
15kuVw9oPFNtl+XchridihANroWK00VFE7XqFTix2roxb2qctvE5z1yusAzb9nHUFJ+4ourz2zga
uN1rGBvsHmUMpKwzCLzLvejsjANi5WBQWzqReq910IelU2uQVZSevGlV3z7KqZfnUIZINaIa7JMV
ReO33hjLg2OHhT9D5vlo2TBFGxwAms2g1LBOqCDJ/6s7hPbcfauiLrlVwmC8s8sqJ4oe82rgB8YE
CnOeHe6lLCsCWEBZPO7KMBqslVtq8ApIZg/uXTpbZKekGJ4TojTcJU64HNr5VlANIZ+bTP0hUAWJ
2NqM0E7SrD0iR9C+YXjNr9olyDjUOvNchZJLGvKpW7lL7DGOnvo5wrDcLIPB8DaSovxIbVFjPMHl
2tsB+uOK2d/QhQLxFatG8m1e5uVIXkeVznhl6DBqYe/T/dgOGDQk1aNjgE5rO8166NQwPxlzB7CK
i+LdNQ0SDolaa+TdKNGmuEFwdCM8RunYskiq1FXayC9rTLI71FHDStOmadfPlXMTJ6pbs7No1gIE
01PlhNalIBTCt9u6/xwQ/JM3X+9HN3M+qqZJ10bg0LbqYMNXgRKRLxoVXIx01HeG7SWHkLiJfVA7
xYY1uL6OCtZESlTIlAAcvk0Fs1K8su8dNidyEw0HtFLg3CSWfKlw6EV1W7+Sj4RYsi/vg0rvj2Vi
felxBEKoQghYZ3O7ISWScNe8VzE8CqJncLdnEz5sJzN2vaa3W2cayOZuuS0YgRXThcHN96Bq5PUY
EViZoQcmKLdSj+nsbmTntbeWGIxN0hLWa/Xhe4AJfBdHsD5gxGruitYd4H2LbTeg295b6JVf09jF
W27oZ6c2zcsYzFCk5tBgW+oIqHp5qPX+pNje4xqJj8rK0SZGSash4y9U++hUuky20K0n2GChRrJ0
zfBT10UNLCtVN67ONtfr3e6pRcOzt2Np8hbW2c7xMrSURmek1xqB8ceBdN6dmyXis2vHUK2tsojd
oyVqHpaebp3ouOEEljLLYeCEejjyo5xm58gSGVQ3K+cbsBcPtmGG5tiYKnKDWhzBiKesfJOMMQtj
PB7RZWr6z3SIxSaeEzRaatS3YdV21yS9iL2cgBDMDTHiTWGMPtHUt6Mjr11HRwyoWwlYCaztlkvU
VVCZzCvdhZyYxCfbXJb8dn6RgZCHXgtnlOp6iFkAG7zXjPA1HBOYXRZds85/FD2p3pUYdeCHDBP9
khPu2QUcsNZMA06F51bbJEL4zp6WLZ3m4omIsa2Cr+zatacS5jCxinbSDo3rrmj1l8Je9pV2aqUG
vEMn+FQhtASoM2+eUrk/wKBadcKzDlKkGfxJecI8+mxlJC/mA7MrtyJ0LCgSsEvGfVx1j07uNA/c
5sgQ86bZoG2emdaWyZM1qe8Z5M0XdqvRoSItfpshcbtzA/x+aYR/N2Pl81E2qXdVINW8l3UuN63o
Hwm5A6aiOmetI8Vf48NmKqA40Y9tMkKn0p0YJUnWVpCKEgCZaUmAtFb2L1HFWeeVHqvy1lIb29XC
oxuz9yTaN/YNQWVZKseD247+Nywn4Ise1nDf1jDBRJHrvTskApzCKOMIJRboxJT6KXaxa6nBA3NR
upivELmhLOjG5DLBUN1I8kdOeTzG11gIcSfF2bpxuxHmSypXVljjM4iM6DB6BnuZbkFj9qIrV2kD
QCJE7QXiksojtEPzXk/gyZQMr26lRnW4gtnFTGlGn4xcuovf88L+GJCG4YUiQrNIYzgBdj5s3KEJ
154dgmYcXJrzQmrOPlFAPMkbHZHoUQm8tRRRh861UP/2Ea6UOB0PbhlK1MjC3qaErnsrzRo9SCQx
ZD9zrr29hYb3rQ5Gm0ZZMQoW3ujrk8qe57KU+AsHvnfhJM9GWVLPkJF9UGOAPN9KrwKnMNFRaxU3
zSgr5GrerNU2ghaCqoFC1P274RRTxZAr6zG5yi6/hvXqYDDXvG/CnOyVXUUZFEkW9qugnIdLk+rF
0xi1wz4LCvWQyDBlx1JM60nrU5g4HPYnZCcioWBcKpgeUEKzt4kOEPwUnRLSsEf3OsJdejWJjGqW
1Yp1qtrKu1Cb6s89ykmq+9olj7mjwkFH2kXoZ3FHpm+ml/0f5s6lN0EgiONfpekdUx6KXHpoe2ib
9BHTpokXQ5SgFkEJVuOt360frL/lVZCHUC5y012GncnM7vLfPzMsnUsf4uZB38nPBklAPxRvuB/N
1QkpKqQryX3Upf1yDF6BLHdlvEibCd/YHjZDPoJ0gO7IfAbvxF65X0+kMWMruVbWbF4Nb7sckxVp
OJLXu/47eCOgv7EPNFIlylqMF7VCC5pBAV0whQ5wQaxJKV8wPXoWra/ewg3evAKpsFGn5Ey7XFCO
gDj1mBoFndE+qmqjgOfkoIdwRCH3sU6AY0KR3M6gNiqcteuiJCx5saPr8sLxXDtuhn4IoqeQA5s8
0+Li9ZXnZQxUZYJ67YrEzKKcnAKVFExdO1UiqMIkRxIzJun3QGN4LZf1SGcyY2dMInJtn5cJEhYq
YEUTX6hWHBaqCllDBVmKrpziwhdI1A4aFDcDVZyZISJiSsOYqLUDmCnnEOV2kCkXpaiUHIhD5lzt
ABbczR8EjZjSLLqBZ2UiAEeQFZhDJJ4nSriggZ+ZI1TwsltPBVpPB/+kbl6VJwwGQHpUK40M0cIT
Gkyh6SpC4iFnFi4yC4tcvVZCbD/ZIZmEiwLiyfVhJpaAFCIO+wnOeyTZCpn04vd1LljC+T/TmKwH
2dtj/YpPLh1T8uf9wvJNfwo2FD46HmVU3e12bgaBZ/vmqgRMJ+b/BlRg7KdhUCf/bm5+luH0hFFX
0SdYdKmZ/zfw2hOGjrLrP17oKPzGJAn2z7eTGFh4Y2Yx6271tuUAa/Up8+h0K1T082SLU3ZbPoZF
j6ljmf71LwAAAP//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microsoft.com/office/2014/relationships/chartEx" Target="../charts/chartEx1.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635847</xdr:colOff>
      <xdr:row>1</xdr:row>
      <xdr:rowOff>109964</xdr:rowOff>
    </xdr:from>
    <xdr:to>
      <xdr:col>9</xdr:col>
      <xdr:colOff>160867</xdr:colOff>
      <xdr:row>7</xdr:row>
      <xdr:rowOff>16933</xdr:rowOff>
    </xdr:to>
    <xdr:grpSp>
      <xdr:nvGrpSpPr>
        <xdr:cNvPr id="17" name="Group 16">
          <a:extLst>
            <a:ext uri="{FF2B5EF4-FFF2-40B4-BE49-F238E27FC236}">
              <a16:creationId xmlns:a16="http://schemas.microsoft.com/office/drawing/2014/main" id="{58CD8B04-B62C-1D27-A9CA-B2F4303F61D2}"/>
            </a:ext>
          </a:extLst>
        </xdr:cNvPr>
        <xdr:cNvGrpSpPr/>
      </xdr:nvGrpSpPr>
      <xdr:grpSpPr>
        <a:xfrm>
          <a:off x="3861647" y="296231"/>
          <a:ext cx="2615353" cy="1261635"/>
          <a:chOff x="3924300" y="757242"/>
          <a:chExt cx="2438402" cy="1233485"/>
        </a:xfrm>
      </xdr:grpSpPr>
      <xdr:sp macro="" textlink="">
        <xdr:nvSpPr>
          <xdr:cNvPr id="2" name="Rectangle: Top Corners Rounded 1">
            <a:extLst>
              <a:ext uri="{FF2B5EF4-FFF2-40B4-BE49-F238E27FC236}">
                <a16:creationId xmlns:a16="http://schemas.microsoft.com/office/drawing/2014/main" id="{70C8BB11-1D3A-647A-560E-CD0B4456E8CB}"/>
              </a:ext>
            </a:extLst>
          </xdr:cNvPr>
          <xdr:cNvSpPr/>
        </xdr:nvSpPr>
        <xdr:spPr>
          <a:xfrm rot="16200000">
            <a:off x="4233851" y="450298"/>
            <a:ext cx="1230878" cy="1849979"/>
          </a:xfrm>
          <a:prstGeom prst="round2SameRect">
            <a:avLst>
              <a:gd name="adj1" fmla="val 16667"/>
              <a:gd name="adj2" fmla="val 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Top Corners Rounded 2">
            <a:extLst>
              <a:ext uri="{FF2B5EF4-FFF2-40B4-BE49-F238E27FC236}">
                <a16:creationId xmlns:a16="http://schemas.microsoft.com/office/drawing/2014/main" id="{DF019264-D4ED-49F8-9783-42A32F58B9AC}"/>
              </a:ext>
            </a:extLst>
          </xdr:cNvPr>
          <xdr:cNvSpPr/>
        </xdr:nvSpPr>
        <xdr:spPr>
          <a:xfrm rot="5400000">
            <a:off x="4865097" y="490515"/>
            <a:ext cx="1230878" cy="1764332"/>
          </a:xfrm>
          <a:prstGeom prst="round2SameRect">
            <a:avLst/>
          </a:prstGeom>
          <a:solidFill>
            <a:srgbClr val="F2EFF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9</xdr:col>
      <xdr:colOff>451485</xdr:colOff>
      <xdr:row>1</xdr:row>
      <xdr:rowOff>118533</xdr:rowOff>
    </xdr:from>
    <xdr:to>
      <xdr:col>13</xdr:col>
      <xdr:colOff>451487</xdr:colOff>
      <xdr:row>7</xdr:row>
      <xdr:rowOff>23811</xdr:rowOff>
    </xdr:to>
    <xdr:grpSp>
      <xdr:nvGrpSpPr>
        <xdr:cNvPr id="18" name="Group 17">
          <a:extLst>
            <a:ext uri="{FF2B5EF4-FFF2-40B4-BE49-F238E27FC236}">
              <a16:creationId xmlns:a16="http://schemas.microsoft.com/office/drawing/2014/main" id="{A5D4ADA0-3777-448A-803B-81FA1984377F}"/>
            </a:ext>
          </a:extLst>
        </xdr:cNvPr>
        <xdr:cNvGrpSpPr/>
      </xdr:nvGrpSpPr>
      <xdr:grpSpPr>
        <a:xfrm>
          <a:off x="6767618" y="304800"/>
          <a:ext cx="2438402" cy="1259944"/>
          <a:chOff x="3924300" y="757242"/>
          <a:chExt cx="2438402" cy="1233485"/>
        </a:xfrm>
      </xdr:grpSpPr>
      <xdr:sp macro="" textlink="">
        <xdr:nvSpPr>
          <xdr:cNvPr id="19" name="Rectangle: Top Corners Rounded 18">
            <a:extLst>
              <a:ext uri="{FF2B5EF4-FFF2-40B4-BE49-F238E27FC236}">
                <a16:creationId xmlns:a16="http://schemas.microsoft.com/office/drawing/2014/main" id="{DE20D335-599F-DF56-6075-4C4B361EA31F}"/>
              </a:ext>
            </a:extLst>
          </xdr:cNvPr>
          <xdr:cNvSpPr/>
        </xdr:nvSpPr>
        <xdr:spPr>
          <a:xfrm rot="16200000">
            <a:off x="4233851" y="450298"/>
            <a:ext cx="1230878" cy="1849979"/>
          </a:xfrm>
          <a:prstGeom prst="round2SameRect">
            <a:avLst>
              <a:gd name="adj1" fmla="val 16667"/>
              <a:gd name="adj2" fmla="val 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Top Corners Rounded 19">
            <a:extLst>
              <a:ext uri="{FF2B5EF4-FFF2-40B4-BE49-F238E27FC236}">
                <a16:creationId xmlns:a16="http://schemas.microsoft.com/office/drawing/2014/main" id="{CEAEC30B-4E68-97AE-69E4-E003967F9A62}"/>
              </a:ext>
            </a:extLst>
          </xdr:cNvPr>
          <xdr:cNvSpPr/>
        </xdr:nvSpPr>
        <xdr:spPr>
          <a:xfrm rot="5400000">
            <a:off x="4865097" y="490515"/>
            <a:ext cx="1230878" cy="1764332"/>
          </a:xfrm>
          <a:prstGeom prst="round2SameRect">
            <a:avLst/>
          </a:prstGeom>
          <a:solidFill>
            <a:srgbClr val="F2EFF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14</xdr:col>
      <xdr:colOff>153670</xdr:colOff>
      <xdr:row>1</xdr:row>
      <xdr:rowOff>88053</xdr:rowOff>
    </xdr:from>
    <xdr:to>
      <xdr:col>18</xdr:col>
      <xdr:colOff>153672</xdr:colOff>
      <xdr:row>6</xdr:row>
      <xdr:rowOff>179597</xdr:rowOff>
    </xdr:to>
    <xdr:grpSp>
      <xdr:nvGrpSpPr>
        <xdr:cNvPr id="21" name="Group 20">
          <a:extLst>
            <a:ext uri="{FF2B5EF4-FFF2-40B4-BE49-F238E27FC236}">
              <a16:creationId xmlns:a16="http://schemas.microsoft.com/office/drawing/2014/main" id="{737B128B-49CD-4152-8EFA-C798EE2EFE90}"/>
            </a:ext>
          </a:extLst>
        </xdr:cNvPr>
        <xdr:cNvGrpSpPr/>
      </xdr:nvGrpSpPr>
      <xdr:grpSpPr>
        <a:xfrm>
          <a:off x="9517803" y="274320"/>
          <a:ext cx="2438402" cy="1259944"/>
          <a:chOff x="3924300" y="757242"/>
          <a:chExt cx="2438402" cy="1233485"/>
        </a:xfrm>
      </xdr:grpSpPr>
      <xdr:sp macro="" textlink="">
        <xdr:nvSpPr>
          <xdr:cNvPr id="22" name="Rectangle: Top Corners Rounded 21">
            <a:extLst>
              <a:ext uri="{FF2B5EF4-FFF2-40B4-BE49-F238E27FC236}">
                <a16:creationId xmlns:a16="http://schemas.microsoft.com/office/drawing/2014/main" id="{F6C50B00-77DE-29AD-CDBD-AEBE3BD6273B}"/>
              </a:ext>
            </a:extLst>
          </xdr:cNvPr>
          <xdr:cNvSpPr/>
        </xdr:nvSpPr>
        <xdr:spPr>
          <a:xfrm rot="16200000">
            <a:off x="4233851" y="450298"/>
            <a:ext cx="1230878" cy="1849979"/>
          </a:xfrm>
          <a:prstGeom prst="round2SameRect">
            <a:avLst>
              <a:gd name="adj1" fmla="val 16667"/>
              <a:gd name="adj2" fmla="val 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Top Corners Rounded 22">
            <a:extLst>
              <a:ext uri="{FF2B5EF4-FFF2-40B4-BE49-F238E27FC236}">
                <a16:creationId xmlns:a16="http://schemas.microsoft.com/office/drawing/2014/main" id="{47374B1B-5BDF-2325-2478-C691C0F3FBF7}"/>
              </a:ext>
            </a:extLst>
          </xdr:cNvPr>
          <xdr:cNvSpPr/>
        </xdr:nvSpPr>
        <xdr:spPr>
          <a:xfrm rot="5400000">
            <a:off x="4865097" y="490515"/>
            <a:ext cx="1230878" cy="1764332"/>
          </a:xfrm>
          <a:prstGeom prst="round2SameRect">
            <a:avLst/>
          </a:prstGeom>
          <a:solidFill>
            <a:srgbClr val="F2EFF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18</xdr:col>
      <xdr:colOff>465456</xdr:colOff>
      <xdr:row>1</xdr:row>
      <xdr:rowOff>85302</xdr:rowOff>
    </xdr:from>
    <xdr:to>
      <xdr:col>22</xdr:col>
      <xdr:colOff>465457</xdr:colOff>
      <xdr:row>6</xdr:row>
      <xdr:rowOff>177799</xdr:rowOff>
    </xdr:to>
    <xdr:grpSp>
      <xdr:nvGrpSpPr>
        <xdr:cNvPr id="24" name="Group 23">
          <a:extLst>
            <a:ext uri="{FF2B5EF4-FFF2-40B4-BE49-F238E27FC236}">
              <a16:creationId xmlns:a16="http://schemas.microsoft.com/office/drawing/2014/main" id="{489E4803-2E86-4D4E-B5CC-602ADA2E507E}"/>
            </a:ext>
          </a:extLst>
        </xdr:cNvPr>
        <xdr:cNvGrpSpPr/>
      </xdr:nvGrpSpPr>
      <xdr:grpSpPr>
        <a:xfrm>
          <a:off x="12267989" y="271569"/>
          <a:ext cx="2438401" cy="1260897"/>
          <a:chOff x="3924301" y="757242"/>
          <a:chExt cx="2438401" cy="1234418"/>
        </a:xfrm>
      </xdr:grpSpPr>
      <xdr:sp macro="" textlink="">
        <xdr:nvSpPr>
          <xdr:cNvPr id="25" name="Rectangle: Top Corners Rounded 24">
            <a:extLst>
              <a:ext uri="{FF2B5EF4-FFF2-40B4-BE49-F238E27FC236}">
                <a16:creationId xmlns:a16="http://schemas.microsoft.com/office/drawing/2014/main" id="{915BA349-01E1-52D1-C0B3-752AC14611C1}"/>
              </a:ext>
            </a:extLst>
          </xdr:cNvPr>
          <xdr:cNvSpPr/>
        </xdr:nvSpPr>
        <xdr:spPr>
          <a:xfrm rot="16200000">
            <a:off x="4233384" y="450764"/>
            <a:ext cx="1231813" cy="1849979"/>
          </a:xfrm>
          <a:prstGeom prst="round2SameRect">
            <a:avLst>
              <a:gd name="adj1" fmla="val 16667"/>
              <a:gd name="adj2" fmla="val 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Top Corners Rounded 25">
            <a:extLst>
              <a:ext uri="{FF2B5EF4-FFF2-40B4-BE49-F238E27FC236}">
                <a16:creationId xmlns:a16="http://schemas.microsoft.com/office/drawing/2014/main" id="{8E5D29AB-7767-8A56-666D-D3B75C25B67B}"/>
              </a:ext>
            </a:extLst>
          </xdr:cNvPr>
          <xdr:cNvSpPr/>
        </xdr:nvSpPr>
        <xdr:spPr>
          <a:xfrm rot="5400000">
            <a:off x="4865097" y="490515"/>
            <a:ext cx="1230878" cy="1764332"/>
          </a:xfrm>
          <a:prstGeom prst="round2SameRect">
            <a:avLst/>
          </a:prstGeom>
          <a:solidFill>
            <a:srgbClr val="F2EFF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7</xdr:col>
      <xdr:colOff>110913</xdr:colOff>
      <xdr:row>1</xdr:row>
      <xdr:rowOff>127846</xdr:rowOff>
    </xdr:from>
    <xdr:to>
      <xdr:col>8</xdr:col>
      <xdr:colOff>766233</xdr:colOff>
      <xdr:row>2</xdr:row>
      <xdr:rowOff>379307</xdr:rowOff>
    </xdr:to>
    <xdr:sp macro="" textlink="Calculation!A4">
      <xdr:nvSpPr>
        <xdr:cNvPr id="40" name="TextBox 39">
          <a:extLst>
            <a:ext uri="{FF2B5EF4-FFF2-40B4-BE49-F238E27FC236}">
              <a16:creationId xmlns:a16="http://schemas.microsoft.com/office/drawing/2014/main" id="{710F9615-48A6-97DD-CC1F-FA4FE1A295EF}"/>
            </a:ext>
          </a:extLst>
        </xdr:cNvPr>
        <xdr:cNvSpPr txBox="1"/>
      </xdr:nvSpPr>
      <xdr:spPr>
        <a:xfrm>
          <a:off x="4869180" y="314113"/>
          <a:ext cx="1366520" cy="437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219B5A-0EF4-4F0B-85E5-DEB3F8D47209}" type="TxLink">
            <a:rPr lang="en-US" sz="1400" b="1" i="0" u="none" strike="noStrike">
              <a:solidFill>
                <a:srgbClr val="000000"/>
              </a:solidFill>
              <a:latin typeface="Century" panose="02040604050505020304" pitchFamily="18" charset="0"/>
              <a:ea typeface="Calibri"/>
              <a:cs typeface="Calibri"/>
            </a:rPr>
            <a:pPr/>
            <a:t> Total Calls</a:t>
          </a:fld>
          <a:endParaRPr lang="en-US" sz="1400" b="1">
            <a:latin typeface="Century" panose="02040604050505020304" pitchFamily="18" charset="0"/>
          </a:endParaRPr>
        </a:p>
      </xdr:txBody>
    </xdr:sp>
    <xdr:clientData/>
  </xdr:twoCellAnchor>
  <xdr:twoCellAnchor>
    <xdr:from>
      <xdr:col>11</xdr:col>
      <xdr:colOff>244334</xdr:colOff>
      <xdr:row>1</xdr:row>
      <xdr:rowOff>157409</xdr:rowOff>
    </xdr:from>
    <xdr:to>
      <xdr:col>13</xdr:col>
      <xdr:colOff>236714</xdr:colOff>
      <xdr:row>3</xdr:row>
      <xdr:rowOff>27870</xdr:rowOff>
    </xdr:to>
    <xdr:sp macro="" textlink="Calculation!A5">
      <xdr:nvSpPr>
        <xdr:cNvPr id="41" name="TextBox 40">
          <a:extLst>
            <a:ext uri="{FF2B5EF4-FFF2-40B4-BE49-F238E27FC236}">
              <a16:creationId xmlns:a16="http://schemas.microsoft.com/office/drawing/2014/main" id="{CE48230D-DB47-4FF2-B74D-F27C30368BFA}"/>
            </a:ext>
          </a:extLst>
        </xdr:cNvPr>
        <xdr:cNvSpPr txBox="1"/>
      </xdr:nvSpPr>
      <xdr:spPr>
        <a:xfrm>
          <a:off x="7779667" y="343676"/>
          <a:ext cx="1211580" cy="437727"/>
        </a:xfrm>
        <a:prstGeom prst="rect">
          <a:avLst/>
        </a:prstGeom>
        <a:noFill/>
        <a:ln w="9525" cmpd="sng">
          <a:solidFill>
            <a:srgbClr val="F2EFF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D4C308-6D52-4C25-8066-74FD2A11A6EC}" type="TxLink">
            <a:rPr lang="en-US" sz="1400" b="1" i="0" u="none" strike="noStrike">
              <a:solidFill>
                <a:srgbClr val="000000"/>
              </a:solidFill>
              <a:latin typeface="Century" panose="02040604050505020304" pitchFamily="18" charset="0"/>
              <a:ea typeface="Calibri"/>
              <a:cs typeface="Calibri"/>
            </a:rPr>
            <a:pPr/>
            <a:t> Calls Reached</a:t>
          </a:fld>
          <a:endParaRPr lang="en-US" sz="1400" b="1">
            <a:latin typeface="Century" panose="02040604050505020304" pitchFamily="18" charset="0"/>
          </a:endParaRPr>
        </a:p>
      </xdr:txBody>
    </xdr:sp>
    <xdr:clientData/>
  </xdr:twoCellAnchor>
  <xdr:twoCellAnchor>
    <xdr:from>
      <xdr:col>15</xdr:col>
      <xdr:colOff>561481</xdr:colOff>
      <xdr:row>1</xdr:row>
      <xdr:rowOff>164112</xdr:rowOff>
    </xdr:from>
    <xdr:to>
      <xdr:col>17</xdr:col>
      <xdr:colOff>553861</xdr:colOff>
      <xdr:row>3</xdr:row>
      <xdr:rowOff>34573</xdr:rowOff>
    </xdr:to>
    <xdr:sp macro="" textlink="Calculation!A6">
      <xdr:nvSpPr>
        <xdr:cNvPr id="42" name="TextBox 41">
          <a:extLst>
            <a:ext uri="{FF2B5EF4-FFF2-40B4-BE49-F238E27FC236}">
              <a16:creationId xmlns:a16="http://schemas.microsoft.com/office/drawing/2014/main" id="{8362614C-50FE-4B40-B07C-6A78985D8936}"/>
            </a:ext>
          </a:extLst>
        </xdr:cNvPr>
        <xdr:cNvSpPr txBox="1"/>
      </xdr:nvSpPr>
      <xdr:spPr>
        <a:xfrm>
          <a:off x="10535214" y="350379"/>
          <a:ext cx="1211580" cy="437727"/>
        </a:xfrm>
        <a:prstGeom prst="rect">
          <a:avLst/>
        </a:prstGeom>
        <a:noFill/>
        <a:ln w="9525" cmpd="sng">
          <a:solidFill>
            <a:srgbClr val="F2EFF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A3BDAF-D580-4FDB-A156-A12DECB03216}" type="TxLink">
            <a:rPr lang="en-US" sz="1400" b="1" i="0" u="none" strike="noStrike">
              <a:solidFill>
                <a:srgbClr val="000000"/>
              </a:solidFill>
              <a:latin typeface="Century" panose="02040604050505020304" pitchFamily="18" charset="0"/>
              <a:ea typeface="Calibri"/>
              <a:cs typeface="Calibri"/>
            </a:rPr>
            <a:pPr/>
            <a:t> Deals Closed</a:t>
          </a:fld>
          <a:endParaRPr lang="en-US" sz="1400" b="1">
            <a:latin typeface="Century" panose="02040604050505020304" pitchFamily="18" charset="0"/>
          </a:endParaRPr>
        </a:p>
      </xdr:txBody>
    </xdr:sp>
    <xdr:clientData/>
  </xdr:twoCellAnchor>
  <xdr:twoCellAnchor>
    <xdr:from>
      <xdr:col>20</xdr:col>
      <xdr:colOff>269028</xdr:colOff>
      <xdr:row>1</xdr:row>
      <xdr:rowOff>163195</xdr:rowOff>
    </xdr:from>
    <xdr:to>
      <xdr:col>22</xdr:col>
      <xdr:colOff>261408</xdr:colOff>
      <xdr:row>3</xdr:row>
      <xdr:rowOff>33656</xdr:rowOff>
    </xdr:to>
    <xdr:sp macro="" textlink="Calculation!A7">
      <xdr:nvSpPr>
        <xdr:cNvPr id="43" name="TextBox 42">
          <a:extLst>
            <a:ext uri="{FF2B5EF4-FFF2-40B4-BE49-F238E27FC236}">
              <a16:creationId xmlns:a16="http://schemas.microsoft.com/office/drawing/2014/main" id="{A4573058-CDB0-40FE-82B6-3C985A72BDBF}"/>
            </a:ext>
          </a:extLst>
        </xdr:cNvPr>
        <xdr:cNvSpPr txBox="1"/>
      </xdr:nvSpPr>
      <xdr:spPr>
        <a:xfrm>
          <a:off x="13290761" y="349462"/>
          <a:ext cx="1211580" cy="437727"/>
        </a:xfrm>
        <a:prstGeom prst="rect">
          <a:avLst/>
        </a:prstGeom>
        <a:noFill/>
        <a:ln w="9525" cmpd="sng">
          <a:solidFill>
            <a:srgbClr val="F2EFF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977FD3-DAC3-4AFF-B402-C4703E7BC3EB}" type="TxLink">
            <a:rPr lang="en-US" sz="1400" b="1" i="0" u="none" strike="noStrike">
              <a:solidFill>
                <a:srgbClr val="000000"/>
              </a:solidFill>
              <a:latin typeface="Century" panose="02040604050505020304" pitchFamily="18" charset="0"/>
              <a:ea typeface="Calibri"/>
              <a:cs typeface="Calibri"/>
            </a:rPr>
            <a:pPr/>
            <a:t> Deal Value ($)</a:t>
          </a:fld>
          <a:endParaRPr lang="en-US" sz="1400" b="1">
            <a:latin typeface="Century" panose="02040604050505020304" pitchFamily="18" charset="0"/>
          </a:endParaRPr>
        </a:p>
      </xdr:txBody>
    </xdr:sp>
    <xdr:clientData/>
  </xdr:twoCellAnchor>
  <xdr:twoCellAnchor editAs="oneCell">
    <xdr:from>
      <xdr:col>18</xdr:col>
      <xdr:colOff>585045</xdr:colOff>
      <xdr:row>2</xdr:row>
      <xdr:rowOff>234528</xdr:rowOff>
    </xdr:from>
    <xdr:to>
      <xdr:col>19</xdr:col>
      <xdr:colOff>425821</xdr:colOff>
      <xdr:row>4</xdr:row>
      <xdr:rowOff>82128</xdr:rowOff>
    </xdr:to>
    <xdr:pic>
      <xdr:nvPicPr>
        <xdr:cNvPr id="45" name="Graphic 44" descr="Money with solid fill">
          <a:extLst>
            <a:ext uri="{FF2B5EF4-FFF2-40B4-BE49-F238E27FC236}">
              <a16:creationId xmlns:a16="http://schemas.microsoft.com/office/drawing/2014/main" id="{83420D56-5494-B99C-90A9-AA70755EE27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387578" y="607061"/>
          <a:ext cx="450376" cy="457200"/>
        </a:xfrm>
        <a:prstGeom prst="rect">
          <a:avLst/>
        </a:prstGeom>
      </xdr:spPr>
    </xdr:pic>
    <xdr:clientData/>
  </xdr:twoCellAnchor>
  <xdr:twoCellAnchor editAs="oneCell">
    <xdr:from>
      <xdr:col>14</xdr:col>
      <xdr:colOff>238273</xdr:colOff>
      <xdr:row>2</xdr:row>
      <xdr:rowOff>258280</xdr:rowOff>
    </xdr:from>
    <xdr:to>
      <xdr:col>15</xdr:col>
      <xdr:colOff>169666</xdr:colOff>
      <xdr:row>5</xdr:row>
      <xdr:rowOff>11053</xdr:rowOff>
    </xdr:to>
    <xdr:pic>
      <xdr:nvPicPr>
        <xdr:cNvPr id="47" name="Graphic 46" descr="Handshake with solid fill">
          <a:extLst>
            <a:ext uri="{FF2B5EF4-FFF2-40B4-BE49-F238E27FC236}">
              <a16:creationId xmlns:a16="http://schemas.microsoft.com/office/drawing/2014/main" id="{9D8D8507-ED65-6604-458B-26DC82FE4F6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02406" y="630813"/>
          <a:ext cx="540993" cy="548640"/>
        </a:xfrm>
        <a:prstGeom prst="rect">
          <a:avLst/>
        </a:prstGeom>
      </xdr:spPr>
    </xdr:pic>
    <xdr:clientData/>
  </xdr:twoCellAnchor>
  <xdr:twoCellAnchor editAs="oneCell">
    <xdr:from>
      <xdr:col>9</xdr:col>
      <xdr:colOff>525654</xdr:colOff>
      <xdr:row>2</xdr:row>
      <xdr:rowOff>262559</xdr:rowOff>
    </xdr:from>
    <xdr:to>
      <xdr:col>10</xdr:col>
      <xdr:colOff>467483</xdr:colOff>
      <xdr:row>5</xdr:row>
      <xdr:rowOff>15332</xdr:rowOff>
    </xdr:to>
    <xdr:pic>
      <xdr:nvPicPr>
        <xdr:cNvPr id="49" name="Graphic 48" descr="Target Audience with solid fill">
          <a:extLst>
            <a:ext uri="{FF2B5EF4-FFF2-40B4-BE49-F238E27FC236}">
              <a16:creationId xmlns:a16="http://schemas.microsoft.com/office/drawing/2014/main" id="{289E01F9-E39B-ED3D-42D6-D821328B343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41787" y="635092"/>
          <a:ext cx="551429" cy="548640"/>
        </a:xfrm>
        <a:prstGeom prst="rect">
          <a:avLst/>
        </a:prstGeom>
      </xdr:spPr>
    </xdr:pic>
    <xdr:clientData/>
  </xdr:twoCellAnchor>
  <xdr:twoCellAnchor editAs="oneCell">
    <xdr:from>
      <xdr:col>5</xdr:col>
      <xdr:colOff>743792</xdr:colOff>
      <xdr:row>2</xdr:row>
      <xdr:rowOff>262653</xdr:rowOff>
    </xdr:from>
    <xdr:to>
      <xdr:col>6</xdr:col>
      <xdr:colOff>512013</xdr:colOff>
      <xdr:row>5</xdr:row>
      <xdr:rowOff>15426</xdr:rowOff>
    </xdr:to>
    <xdr:pic>
      <xdr:nvPicPr>
        <xdr:cNvPr id="51" name="Graphic 50" descr="Receiver with solid fill">
          <a:extLst>
            <a:ext uri="{FF2B5EF4-FFF2-40B4-BE49-F238E27FC236}">
              <a16:creationId xmlns:a16="http://schemas.microsoft.com/office/drawing/2014/main" id="{AE3F3BEE-20E2-3C53-2787-918133D0459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969592" y="635186"/>
          <a:ext cx="538688" cy="548640"/>
        </a:xfrm>
        <a:prstGeom prst="rect">
          <a:avLst/>
        </a:prstGeom>
      </xdr:spPr>
    </xdr:pic>
    <xdr:clientData/>
  </xdr:twoCellAnchor>
  <xdr:twoCellAnchor>
    <xdr:from>
      <xdr:col>7</xdr:col>
      <xdr:colOff>150706</xdr:colOff>
      <xdr:row>3</xdr:row>
      <xdr:rowOff>20321</xdr:rowOff>
    </xdr:from>
    <xdr:to>
      <xdr:col>8</xdr:col>
      <xdr:colOff>806026</xdr:colOff>
      <xdr:row>5</xdr:row>
      <xdr:rowOff>46567</xdr:rowOff>
    </xdr:to>
    <xdr:sp macro="" textlink="Calculation!B4">
      <xdr:nvSpPr>
        <xdr:cNvPr id="53" name="TextBox 52">
          <a:extLst>
            <a:ext uri="{FF2B5EF4-FFF2-40B4-BE49-F238E27FC236}">
              <a16:creationId xmlns:a16="http://schemas.microsoft.com/office/drawing/2014/main" id="{A8C9A3AE-2E91-4519-AD86-3F32F9A19CDD}"/>
            </a:ext>
          </a:extLst>
        </xdr:cNvPr>
        <xdr:cNvSpPr txBox="1"/>
      </xdr:nvSpPr>
      <xdr:spPr>
        <a:xfrm>
          <a:off x="4908973" y="773854"/>
          <a:ext cx="1366520" cy="441113"/>
        </a:xfrm>
        <a:prstGeom prst="rect">
          <a:avLst/>
        </a:prstGeom>
        <a:noFill/>
        <a:ln w="9525" cmpd="sng">
          <a:solidFill>
            <a:srgbClr val="F2EFF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07AF71B-1108-40E0-998B-76C2061C658D}" type="TxLink">
            <a:rPr lang="en-US" sz="2000" b="1" i="0" u="none" strike="noStrike">
              <a:solidFill>
                <a:srgbClr val="000000"/>
              </a:solidFill>
              <a:latin typeface="Calibri"/>
              <a:ea typeface="Calibri"/>
              <a:cs typeface="Calibri"/>
            </a:rPr>
            <a:pPr algn="l"/>
            <a:t> 18,300 </a:t>
          </a:fld>
          <a:endParaRPr lang="en-US" sz="2000" b="1"/>
        </a:p>
      </xdr:txBody>
    </xdr:sp>
    <xdr:clientData/>
  </xdr:twoCellAnchor>
  <xdr:twoCellAnchor>
    <xdr:from>
      <xdr:col>11</xdr:col>
      <xdr:colOff>203200</xdr:colOff>
      <xdr:row>3</xdr:row>
      <xdr:rowOff>11854</xdr:rowOff>
    </xdr:from>
    <xdr:to>
      <xdr:col>13</xdr:col>
      <xdr:colOff>195580</xdr:colOff>
      <xdr:row>5</xdr:row>
      <xdr:rowOff>38100</xdr:rowOff>
    </xdr:to>
    <xdr:sp macro="" textlink="Calculation!B5">
      <xdr:nvSpPr>
        <xdr:cNvPr id="54" name="TextBox 53">
          <a:extLst>
            <a:ext uri="{FF2B5EF4-FFF2-40B4-BE49-F238E27FC236}">
              <a16:creationId xmlns:a16="http://schemas.microsoft.com/office/drawing/2014/main" id="{83C574FB-8E0D-43D4-AE56-CE5E300D340E}"/>
            </a:ext>
          </a:extLst>
        </xdr:cNvPr>
        <xdr:cNvSpPr txBox="1"/>
      </xdr:nvSpPr>
      <xdr:spPr>
        <a:xfrm>
          <a:off x="7738533" y="765387"/>
          <a:ext cx="1211580" cy="441113"/>
        </a:xfrm>
        <a:prstGeom prst="rect">
          <a:avLst/>
        </a:prstGeom>
        <a:noFill/>
        <a:ln w="9525" cmpd="sng">
          <a:solidFill>
            <a:srgbClr val="F2EFF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B0D4D16-3900-4485-B819-68DA386FA1DA}" type="TxLink">
            <a:rPr lang="en-US" sz="2000" b="1" i="0" u="none" strike="noStrike">
              <a:solidFill>
                <a:srgbClr val="000000"/>
              </a:solidFill>
              <a:latin typeface="Calibri"/>
              <a:ea typeface="Calibri"/>
              <a:cs typeface="Calibri"/>
            </a:rPr>
            <a:pPr algn="l"/>
            <a:t> 3,619 </a:t>
          </a:fld>
          <a:endParaRPr lang="en-US" sz="2000" b="1"/>
        </a:p>
      </xdr:txBody>
    </xdr:sp>
    <xdr:clientData/>
  </xdr:twoCellAnchor>
  <xdr:twoCellAnchor>
    <xdr:from>
      <xdr:col>15</xdr:col>
      <xdr:colOff>530859</xdr:colOff>
      <xdr:row>2</xdr:row>
      <xdr:rowOff>378460</xdr:rowOff>
    </xdr:from>
    <xdr:to>
      <xdr:col>17</xdr:col>
      <xdr:colOff>523239</xdr:colOff>
      <xdr:row>5</xdr:row>
      <xdr:rowOff>23706</xdr:rowOff>
    </xdr:to>
    <xdr:sp macro="" textlink="Calculation!B6">
      <xdr:nvSpPr>
        <xdr:cNvPr id="55" name="TextBox 54">
          <a:extLst>
            <a:ext uri="{FF2B5EF4-FFF2-40B4-BE49-F238E27FC236}">
              <a16:creationId xmlns:a16="http://schemas.microsoft.com/office/drawing/2014/main" id="{1D52111A-154F-4D7E-8F53-33BA2523C4DE}"/>
            </a:ext>
          </a:extLst>
        </xdr:cNvPr>
        <xdr:cNvSpPr txBox="1"/>
      </xdr:nvSpPr>
      <xdr:spPr>
        <a:xfrm>
          <a:off x="10504592" y="750993"/>
          <a:ext cx="1211580" cy="441113"/>
        </a:xfrm>
        <a:prstGeom prst="rect">
          <a:avLst/>
        </a:prstGeom>
        <a:noFill/>
        <a:ln w="9525" cmpd="sng">
          <a:solidFill>
            <a:srgbClr val="F2EFF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45A8CB9-8C6E-46F0-A6E8-A43ACC590E73}" type="TxLink">
            <a:rPr lang="en-US" sz="2000" b="1" i="0" u="none" strike="noStrike">
              <a:solidFill>
                <a:srgbClr val="000000"/>
              </a:solidFill>
              <a:latin typeface="Calibri"/>
              <a:ea typeface="Calibri"/>
              <a:cs typeface="Calibri"/>
            </a:rPr>
            <a:pPr algn="l"/>
            <a:t> 1,309 </a:t>
          </a:fld>
          <a:endParaRPr lang="en-US" sz="2000" b="1"/>
        </a:p>
      </xdr:txBody>
    </xdr:sp>
    <xdr:clientData/>
  </xdr:twoCellAnchor>
  <xdr:twoCellAnchor>
    <xdr:from>
      <xdr:col>20</xdr:col>
      <xdr:colOff>249766</xdr:colOff>
      <xdr:row>2</xdr:row>
      <xdr:rowOff>337820</xdr:rowOff>
    </xdr:from>
    <xdr:to>
      <xdr:col>22</xdr:col>
      <xdr:colOff>242146</xdr:colOff>
      <xdr:row>4</xdr:row>
      <xdr:rowOff>169333</xdr:rowOff>
    </xdr:to>
    <xdr:sp macro="" textlink="Calculation!B7">
      <xdr:nvSpPr>
        <xdr:cNvPr id="56" name="TextBox 55">
          <a:extLst>
            <a:ext uri="{FF2B5EF4-FFF2-40B4-BE49-F238E27FC236}">
              <a16:creationId xmlns:a16="http://schemas.microsoft.com/office/drawing/2014/main" id="{8A038047-1E9D-4D63-B835-780CBB4A4876}"/>
            </a:ext>
          </a:extLst>
        </xdr:cNvPr>
        <xdr:cNvSpPr txBox="1"/>
      </xdr:nvSpPr>
      <xdr:spPr>
        <a:xfrm>
          <a:off x="13271499" y="710353"/>
          <a:ext cx="1211580" cy="441113"/>
        </a:xfrm>
        <a:prstGeom prst="rect">
          <a:avLst/>
        </a:prstGeom>
        <a:noFill/>
        <a:ln w="9525" cmpd="sng">
          <a:solidFill>
            <a:srgbClr val="F2EFF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4CBF588-A697-4B4F-92B2-B7E06CC7A27D}" type="TxLink">
            <a:rPr lang="en-US" sz="2000" b="1" i="0" u="none" strike="noStrike">
              <a:solidFill>
                <a:srgbClr val="000000"/>
              </a:solidFill>
              <a:latin typeface="Calibri"/>
              <a:ea typeface="Calibri"/>
              <a:cs typeface="Calibri"/>
            </a:rPr>
            <a:pPr algn="l"/>
            <a:t> $706,195 </a:t>
          </a:fld>
          <a:endParaRPr lang="en-US" sz="2000" b="1"/>
        </a:p>
      </xdr:txBody>
    </xdr:sp>
    <xdr:clientData/>
  </xdr:twoCellAnchor>
  <xdr:twoCellAnchor>
    <xdr:from>
      <xdr:col>9</xdr:col>
      <xdr:colOff>221827</xdr:colOff>
      <xdr:row>8</xdr:row>
      <xdr:rowOff>109219</xdr:rowOff>
    </xdr:from>
    <xdr:to>
      <xdr:col>16</xdr:col>
      <xdr:colOff>526627</xdr:colOff>
      <xdr:row>30</xdr:row>
      <xdr:rowOff>63499</xdr:rowOff>
    </xdr:to>
    <xdr:graphicFrame macro="">
      <xdr:nvGraphicFramePr>
        <xdr:cNvPr id="5" name="Chart 4">
          <a:extLst>
            <a:ext uri="{FF2B5EF4-FFF2-40B4-BE49-F238E27FC236}">
              <a16:creationId xmlns:a16="http://schemas.microsoft.com/office/drawing/2014/main" id="{7DA277E3-B74A-40D9-995A-56881EDC4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241300</xdr:colOff>
      <xdr:row>8</xdr:row>
      <xdr:rowOff>141394</xdr:rowOff>
    </xdr:from>
    <xdr:to>
      <xdr:col>22</xdr:col>
      <xdr:colOff>546100</xdr:colOff>
      <xdr:row>29</xdr:row>
      <xdr:rowOff>57574</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8A305F51-517D-41FF-8557-5AA9979E97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215033" y="1868594"/>
              <a:ext cx="4572000" cy="38277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369994</xdr:colOff>
      <xdr:row>9</xdr:row>
      <xdr:rowOff>16087</xdr:rowOff>
    </xdr:from>
    <xdr:to>
      <xdr:col>3</xdr:col>
      <xdr:colOff>369994</xdr:colOff>
      <xdr:row>36</xdr:row>
      <xdr:rowOff>183727</xdr:rowOff>
    </xdr:to>
    <mc:AlternateContent xmlns:mc="http://schemas.openxmlformats.org/markup-compatibility/2006">
      <mc:Choice xmlns:a14="http://schemas.microsoft.com/office/drawing/2010/main" Requires="a14">
        <xdr:graphicFrame macro="">
          <xdr:nvGraphicFramePr>
            <xdr:cNvPr id="6" name="Name">
              <a:extLst>
                <a:ext uri="{FF2B5EF4-FFF2-40B4-BE49-F238E27FC236}">
                  <a16:creationId xmlns:a16="http://schemas.microsoft.com/office/drawing/2014/main" id="{E1DA2E87-496C-455E-8CCC-CE6E8BFBF3AC}"/>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369994" y="1929554"/>
              <a:ext cx="1828800" cy="5196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55.870455208336" createdVersion="8" refreshedVersion="8" minRefreshableVersion="3" recordCount="312" xr:uid="{4D9C4B71-63D8-449B-BF2B-2654770DDA76}">
  <cacheSource type="worksheet">
    <worksheetSource name="Table1"/>
  </cacheSource>
  <cacheFields count="13">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Region" numFmtId="0">
      <sharedItems count="5">
        <s v="Dhaka"/>
        <s v="Rangpur"/>
        <s v="Sylhet"/>
        <s v="Chittagong"/>
        <s v="Barisal"/>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12"/>
    </cacheField>
    <cacheField name="Total Calls" numFmtId="0">
      <sharedItems containsSemiMixedTypes="0" containsString="0" containsNumber="1" containsInteger="1" minValue="16" maxValue="115" count="92">
        <n v="74"/>
        <n v="78"/>
        <n v="47"/>
        <n v="24"/>
        <n v="81"/>
        <n v="59"/>
        <n v="68"/>
        <n v="60"/>
        <n v="34"/>
        <n v="18"/>
        <n v="36"/>
        <n v="67"/>
        <n v="54"/>
        <n v="82"/>
        <n v="31"/>
        <n v="92"/>
        <n v="73"/>
        <n v="25"/>
        <n v="96"/>
        <n v="63"/>
        <n v="38"/>
        <n v="43"/>
        <n v="62"/>
        <n v="52"/>
        <n v="22"/>
        <n v="93"/>
        <n v="65"/>
        <n v="90"/>
        <n v="48"/>
        <n v="37"/>
        <n v="20"/>
        <n v="35"/>
        <n v="30"/>
        <n v="69"/>
        <n v="21"/>
        <n v="83"/>
        <n v="57"/>
        <n v="55"/>
        <n v="91"/>
        <n v="19"/>
        <n v="77"/>
        <n v="50"/>
        <n v="88"/>
        <n v="33"/>
        <n v="16"/>
        <n v="61"/>
        <n v="84"/>
        <n v="64"/>
        <n v="110"/>
        <n v="108"/>
        <n v="28"/>
        <n v="39"/>
        <n v="41"/>
        <n v="17"/>
        <n v="76"/>
        <n v="72"/>
        <n v="44"/>
        <n v="29"/>
        <n v="26"/>
        <n v="103"/>
        <n v="100"/>
        <n v="104"/>
        <n v="42"/>
        <n v="45"/>
        <n v="85"/>
        <n v="49"/>
        <n v="66"/>
        <n v="75"/>
        <n v="97"/>
        <n v="105"/>
        <n v="111"/>
        <n v="71"/>
        <n v="40"/>
        <n v="58"/>
        <n v="114"/>
        <n v="53"/>
        <n v="70"/>
        <n v="32"/>
        <n v="79"/>
        <n v="80"/>
        <n v="106"/>
        <n v="115"/>
        <n v="51"/>
        <n v="87"/>
        <n v="86"/>
        <n v="98"/>
        <n v="27"/>
        <n v="102"/>
        <n v="23"/>
        <n v="101"/>
        <n v="99"/>
        <n v="94"/>
      </sharedItems>
    </cacheField>
    <cacheField name="Calls Reached" numFmtId="0">
      <sharedItems containsSemiMixedTypes="0" containsString="0" containsNumber="1" containsInteger="1" minValue="4" maxValue="22" count="19">
        <n v="12"/>
        <n v="14"/>
        <n v="6"/>
        <n v="16"/>
        <n v="5"/>
        <n v="19"/>
        <n v="7"/>
        <n v="21"/>
        <n v="13"/>
        <n v="8"/>
        <n v="17"/>
        <n v="9"/>
        <n v="10"/>
        <n v="4"/>
        <n v="20"/>
        <n v="15"/>
        <n v="11"/>
        <n v="18"/>
        <n v="22"/>
      </sharedItems>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ount="11">
        <n v="7"/>
        <n v="4"/>
        <n v="2"/>
        <n v="5"/>
        <n v="3"/>
        <n v="9"/>
        <n v="10"/>
        <n v="0"/>
        <n v="1"/>
        <n v="6"/>
        <n v="8"/>
      </sharedItems>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ount="312">
        <n v="4276.3100000000004"/>
        <n v="3880.98"/>
        <n v="3716"/>
        <n v="1552.35"/>
        <n v="1030.68"/>
        <n v="3546.72"/>
        <n v="2472.2399999999998"/>
        <n v="3956.69"/>
        <n v="1140.08"/>
        <n v="979.09"/>
        <n v="720.56"/>
        <n v="3463.18"/>
        <n v="330.12"/>
        <n v="4072.07"/>
        <n v="645.83000000000004"/>
        <n v="1207.17"/>
        <n v="3463.96"/>
        <n v="3945.43"/>
        <n v="425.41"/>
        <n v="1123.8399999999999"/>
        <n v="1432.23"/>
        <n v="3173.13"/>
        <n v="526.12"/>
        <n v="2695.84"/>
        <n v="243.62"/>
        <n v="3843.52"/>
        <n v="4195.1400000000003"/>
        <n v="3620.19"/>
        <n v="3394.39"/>
        <n v="1638.74"/>
        <n v="1057.1400000000001"/>
        <n v="3486.23"/>
        <n v="2662.44"/>
        <n v="4335.84"/>
        <n v="1295.07"/>
        <n v="979.47"/>
        <n v="732.99"/>
        <n v="3949.69"/>
        <n v="360.7"/>
        <n v="3595.12"/>
        <n v="610.66"/>
        <n v="1173.27"/>
        <n v="3794.02"/>
        <n v="3616.21"/>
        <n v="402.53"/>
        <n v="1152.4100000000001"/>
        <n v="1703.6"/>
        <n v="3503.57"/>
        <n v="548.36"/>
        <n v="3017.43"/>
        <n v="221.94"/>
        <n v="4183.2700000000004"/>
        <n v="3890.73"/>
        <n v="3674.37"/>
        <n v="3357.27"/>
        <n v="1469.62"/>
        <n v="963.35"/>
        <n v="3725.66"/>
        <n v="2619.84"/>
        <n v="4641.6099999999997"/>
        <n v="1169.6400000000001"/>
        <n v="1080.0899999999999"/>
        <n v="818.64"/>
        <n v="3621.51"/>
        <n v="355.96"/>
        <n v="4153.3100000000004"/>
        <n v="661.2"/>
        <n v="1171.95"/>
        <n v="3848.14"/>
        <n v="4039.26"/>
        <n v="411.36"/>
        <n v="1306.3800000000001"/>
        <n v="1692.59"/>
        <n v="3113.29"/>
        <n v="534.58000000000004"/>
        <n v="2989.69"/>
        <n v="224.87"/>
        <n v="4592.09"/>
        <n v="3728.2"/>
        <n v="3682.69"/>
        <n v="3638.83"/>
        <n v="1419.04"/>
        <n v="1019.97"/>
        <n v="3633.75"/>
        <n v="2378.29"/>
        <n v="4155.8"/>
        <n v="1075.94"/>
        <n v="1088.22"/>
        <n v="868.4"/>
        <n v="3483.6"/>
        <n v="377.45"/>
        <n v="3988.15"/>
        <n v="643.44000000000005"/>
        <n v="1169.3800000000001"/>
        <n v="4085.91"/>
        <n v="3360.11"/>
        <n v="433.41"/>
        <n v="1138.51"/>
        <n v="1591.45"/>
        <n v="3499.88"/>
        <n v="462.44"/>
        <n v="3153.56"/>
        <n v="229.72"/>
        <n v="4298.2700000000004"/>
        <n v="3716.14"/>
        <n v="3558.13"/>
        <n v="3327.07"/>
        <n v="1672.82"/>
        <n v="939.32"/>
        <n v="3623.32"/>
        <n v="2631.58"/>
        <n v="4064.36"/>
        <n v="1294.3599999999999"/>
        <n v="899.46"/>
        <n v="789.77"/>
        <n v="3867.67"/>
        <n v="359.97"/>
        <n v="3797.35"/>
        <n v="592.71"/>
        <n v="1282.81"/>
        <n v="3971.59"/>
        <n v="3830.32"/>
        <n v="386.08"/>
        <n v="1287.1300000000001"/>
        <n v="1598.49"/>
        <n v="3496.65"/>
        <n v="455.32"/>
        <n v="2811.77"/>
        <n v="241.08"/>
        <n v="4068.75"/>
        <n v="3958.94"/>
        <n v="4003.52"/>
        <n v="3173.36"/>
        <n v="1431.69"/>
        <n v="988.98"/>
        <n v="3545.66"/>
        <n v="2420.5300000000002"/>
        <n v="3860.12"/>
        <n v="1213.5899999999999"/>
        <n v="1056.98"/>
        <n v="809.56"/>
        <n v="3330.44"/>
        <n v="364.56"/>
        <n v="3760.57"/>
        <n v="692.47"/>
        <n v="1190.24"/>
        <n v="3913.17"/>
        <n v="3993.03"/>
        <n v="377.13"/>
        <n v="1262.99"/>
        <n v="1455.83"/>
        <n v="3734.43"/>
        <n v="525.73"/>
        <n v="2988.28"/>
        <n v="224.24"/>
        <n v="3984.69"/>
        <n v="4444.83"/>
        <n v="3704.33"/>
        <n v="3514.07"/>
        <n v="1597.98"/>
        <n v="1004.9"/>
        <n v="3289.06"/>
        <n v="2296.14"/>
        <n v="4227.22"/>
        <n v="1101.06"/>
        <n v="1087.4100000000001"/>
        <n v="828.73"/>
        <n v="3939.56"/>
        <n v="327.82"/>
        <n v="3767.74"/>
        <n v="692.29"/>
        <n v="1364.24"/>
        <n v="3652.64"/>
        <n v="3588.89"/>
        <n v="458.18"/>
        <n v="1219.29"/>
        <n v="1494.14"/>
        <n v="3682.29"/>
        <n v="506.88"/>
        <n v="2949.94"/>
        <n v="259.86"/>
        <n v="3846.34"/>
        <n v="4043.62"/>
        <n v="3819.73"/>
        <n v="3409.69"/>
        <n v="1387.86"/>
        <n v="958.02"/>
        <n v="3620.9"/>
        <n v="2531.4"/>
        <n v="4136.6899999999996"/>
        <n v="1166.55"/>
        <n v="1044.8599999999999"/>
        <n v="772.77"/>
        <n v="3868.36"/>
        <n v="350.62"/>
        <n v="3963.32"/>
        <n v="675.97"/>
        <n v="1255.83"/>
        <n v="3666.64"/>
        <n v="3790.05"/>
        <n v="443.22"/>
        <n v="1265.47"/>
        <n v="1573.7"/>
        <n v="3398.37"/>
        <n v="464.49"/>
        <n v="2681.51"/>
        <n v="222.62"/>
        <n v="4155.8599999999997"/>
        <n v="4017.54"/>
        <n v="3658.64"/>
        <n v="3767.63"/>
        <n v="1650.69"/>
        <n v="990.89"/>
        <n v="3916.58"/>
        <n v="2254.16"/>
        <n v="3929.11"/>
        <n v="1187.3699999999999"/>
        <n v="924.79"/>
        <n v="779.86"/>
        <n v="4013.79"/>
        <n v="336.22"/>
        <n v="3424.83"/>
        <n v="635.24"/>
        <n v="1307.47"/>
        <n v="3483.91"/>
        <n v="3895.32"/>
        <n v="418.33"/>
        <n v="1269.5999999999999"/>
        <n v="1444.65"/>
        <n v="3601.93"/>
        <n v="507.1"/>
        <n v="2978.09"/>
        <n v="250.08"/>
        <n v="4381.3900000000003"/>
        <n v="4267.5"/>
        <n v="3679.65"/>
        <n v="3626.22"/>
        <n v="1543.72"/>
        <n v="980.1"/>
        <n v="3928.71"/>
        <n v="2486.2199999999998"/>
        <n v="3946.23"/>
        <n v="1286.18"/>
        <n v="957.05"/>
        <n v="762.2"/>
        <n v="3420.99"/>
        <n v="376.66"/>
        <n v="3781.81"/>
        <n v="636.65"/>
        <n v="1148.1400000000001"/>
        <n v="3851.19"/>
        <n v="3767.78"/>
        <n v="400.92"/>
        <n v="1220.5899999999999"/>
        <n v="1649.09"/>
        <n v="3183.87"/>
        <n v="508.84"/>
        <n v="2890.62"/>
        <n v="241.26"/>
        <n v="4111.76"/>
        <n v="4402.41"/>
        <n v="3917.99"/>
        <n v="3669.4"/>
        <n v="1476.69"/>
        <n v="1093.75"/>
        <n v="3775.84"/>
        <n v="2481.64"/>
        <n v="3982.36"/>
        <n v="1172.04"/>
        <n v="995.6"/>
        <n v="788.65"/>
        <n v="3543.71"/>
        <n v="358.29"/>
        <n v="3534.1"/>
        <n v="707.75"/>
        <n v="1248.54"/>
        <n v="3892.76"/>
        <n v="3359.77"/>
        <n v="392.05"/>
        <n v="1097.5999999999999"/>
        <n v="1469.71"/>
        <n v="3491.19"/>
        <n v="548.46"/>
        <n v="3020.19"/>
        <n v="231.16"/>
        <n v="4484.96"/>
        <n v="4099.6400000000003"/>
        <n v="3996.04"/>
        <n v="3543.6"/>
        <n v="1527.27"/>
        <n v="1116.6099999999999"/>
        <n v="3767.09"/>
        <n v="2608.4699999999998"/>
        <n v="3836.95"/>
        <n v="1107.51"/>
        <n v="947.47"/>
        <n v="730.81"/>
        <n v="3643.63"/>
        <n v="379.83"/>
        <n v="3753.06"/>
        <n v="649.97"/>
        <n v="1153.93"/>
        <n v="3741.27"/>
        <n v="3793.56"/>
        <n v="454.09"/>
        <n v="1182.6300000000001"/>
        <n v="1553.7"/>
        <n v="3665.55"/>
        <n v="545.09"/>
        <n v="2605.02"/>
        <n v="239.13"/>
        <n v="4573.5"/>
      </sharedItems>
    </cacheField>
    <cacheField name="Service Level" numFmtId="0">
      <sharedItems containsSemiMixedTypes="0" containsString="0" containsNumber="1" containsInteger="1" minValue="1" maxValue="3"/>
    </cacheField>
    <cacheField name="Call Drop Rate (%)" numFmtId="9">
      <sharedItems containsSemiMixedTypes="0" containsString="0" containsNumber="1" minValue="8.9999999999999998E-4" maxValue="0.10640000000000001" count="231">
        <n v="2.9500000000000002E-2"/>
        <n v="4.3400000000000001E-2"/>
        <n v="4.3899999999999995E-2"/>
        <n v="3.0800000000000001E-2"/>
        <n v="4.1100000000000005E-2"/>
        <n v="1.2699999999999999E-2"/>
        <n v="9.5399999999999985E-2"/>
        <n v="5.4600000000000003E-2"/>
        <n v="3.27E-2"/>
        <n v="7.8899999999999998E-2"/>
        <n v="3.7599999999999995E-2"/>
        <n v="3.7200000000000004E-2"/>
        <n v="4.1200000000000001E-2"/>
        <n v="2.7999999999999997E-2"/>
        <n v="8.4199999999999997E-2"/>
        <n v="8.4900000000000003E-2"/>
        <n v="3.6000000000000004E-2"/>
        <n v="0.1045"/>
        <n v="8.9999999999999998E-4"/>
        <n v="5.1699999999999996E-2"/>
        <n v="2.8300000000000002E-2"/>
        <n v="8.3499999999999991E-2"/>
        <n v="2.46E-2"/>
        <n v="6.4399999999999999E-2"/>
        <n v="8.3400000000000002E-2"/>
        <n v="2.75E-2"/>
        <n v="4.0800000000000003E-2"/>
        <n v="4.5599999999999995E-2"/>
        <n v="3.04E-2"/>
        <n v="3.6900000000000002E-2"/>
        <n v="1.1200000000000002E-2"/>
        <n v="0.10640000000000001"/>
        <n v="3.9900000000000005E-2"/>
        <n v="5.6299999999999996E-2"/>
        <n v="7.9000000000000001E-2"/>
        <n v="3.7499999999999999E-2"/>
        <n v="3.3399999999999999E-2"/>
        <n v="2.8199999999999999E-2"/>
        <n v="7.5300000000000006E-2"/>
        <n v="9.5000000000000001E-2"/>
        <n v="3.61E-2"/>
        <n v="0.1013"/>
        <n v="1E-3"/>
        <n v="5.21E-2"/>
        <n v="3.1300000000000001E-2"/>
        <n v="8.2500000000000004E-2"/>
        <n v="2.4199999999999999E-2"/>
        <n v="6.7400000000000002E-2"/>
        <n v="8.8699999999999987E-2"/>
        <n v="2.8799999999999999E-2"/>
        <n v="4.2599999999999999E-2"/>
        <n v="3.0699999999999998E-2"/>
        <n v="3.6699999999999997E-2"/>
        <n v="1.1599999999999999E-2"/>
        <n v="0.10550000000000001"/>
        <n v="5.4800000000000001E-2"/>
        <n v="3.5499999999999997E-2"/>
        <n v="7.46E-2"/>
        <n v="4.3099999999999999E-2"/>
        <n v="3.6299999999999999E-2"/>
        <n v="4.0399999999999998E-2"/>
        <n v="2.7699999999999999E-2"/>
        <n v="7.690000000000001E-2"/>
        <n v="8.6699999999999999E-2"/>
        <n v="3.4000000000000002E-2"/>
        <n v="0.1014"/>
        <n v="1.1000000000000001E-3"/>
        <n v="5.0999999999999997E-2"/>
        <n v="3.2099999999999997E-2"/>
        <n v="8.8000000000000009E-2"/>
        <n v="2.5499999999999998E-2"/>
        <n v="6.480000000000001E-2"/>
        <n v="8.5500000000000007E-2"/>
        <n v="2.9600000000000001E-2"/>
        <n v="3.8199999999999998E-2"/>
        <n v="4.41E-2"/>
        <n v="2.9399999999999999E-2"/>
        <n v="3.8100000000000002E-2"/>
        <n v="1.1399999999999999E-2"/>
        <n v="0.1052"/>
        <n v="4.3299999999999998E-2"/>
        <n v="6.2400000000000004E-2"/>
        <n v="3.49E-2"/>
        <n v="8.4100000000000008E-2"/>
        <n v="3.32E-2"/>
        <n v="3.8399999999999997E-2"/>
        <n v="3.2000000000000001E-2"/>
        <n v="7.7699999999999991E-2"/>
        <n v="9.0500000000000011E-2"/>
        <n v="3.0600000000000002E-2"/>
        <n v="9.3599999999999989E-2"/>
        <n v="4.9599999999999998E-2"/>
        <n v="3.0200000000000001E-2"/>
        <n v="7.9899999999999999E-2"/>
        <n v="2.4500000000000001E-2"/>
        <n v="7.4499999999999997E-2"/>
        <n v="2.63E-2"/>
        <n v="4.0999999999999995E-2"/>
        <n v="3.0299999999999997E-2"/>
        <n v="3.6400000000000002E-2"/>
        <n v="1.21E-2"/>
        <n v="0.10249999999999999"/>
        <n v="4.1599999999999998E-2"/>
        <n v="5.6399999999999999E-2"/>
        <n v="3.2199999999999999E-2"/>
        <n v="3.8300000000000001E-2"/>
        <n v="4.1399999999999999E-2"/>
        <n v="2.76E-2"/>
        <n v="7.22E-2"/>
        <n v="9.0700000000000003E-2"/>
        <n v="3.5200000000000002E-2"/>
        <n v="9.820000000000001E-2"/>
        <n v="5.8299999999999998E-2"/>
        <n v="9.35E-2"/>
        <n v="2.7099999999999999E-2"/>
        <n v="7.0599999999999996E-2"/>
        <n v="4.2900000000000001E-2"/>
        <n v="3.1600000000000003E-2"/>
        <n v="4.2300000000000004E-2"/>
        <n v="8.929999999999999E-2"/>
        <n v="4.3499999999999997E-2"/>
        <n v="6.2E-2"/>
        <n v="7.1399999999999991E-2"/>
        <n v="3.4300000000000004E-2"/>
        <n v="3.9800000000000002E-2"/>
        <n v="8.0600000000000005E-2"/>
        <n v="9.5700000000000007E-2"/>
        <n v="0.10009999999999999"/>
        <n v="5.1299999999999998E-2"/>
        <n v="8.2299999999999998E-2"/>
        <n v="2.58E-2"/>
        <n v="6.9800000000000001E-2"/>
        <n v="7.4099999999999999E-2"/>
        <n v="4.0099999999999997E-2"/>
        <n v="2.81E-2"/>
        <n v="4.2099999999999999E-2"/>
        <n v="1.1299999999999999E-2"/>
        <n v="9.5799999999999996E-2"/>
        <n v="6.0100000000000001E-2"/>
        <n v="7.4200000000000002E-2"/>
        <n v="3.78E-2"/>
        <n v="3.85E-2"/>
        <n v="2.8999999999999998E-2"/>
        <n v="8.3100000000000007E-2"/>
        <n v="8.6999999999999994E-2"/>
        <n v="3.5400000000000001E-2"/>
        <n v="9.9399999999999988E-2"/>
        <n v="5.7800000000000004E-2"/>
        <n v="9.4100000000000003E-2"/>
        <n v="2.3599999999999999E-2"/>
        <n v="6.3299999999999995E-2"/>
        <n v="8.5900000000000004E-2"/>
        <n v="2.7200000000000002E-2"/>
        <n v="4.4900000000000002E-2"/>
        <n v="3.0099999999999998E-2"/>
        <n v="3.9100000000000003E-2"/>
        <n v="1.23E-2"/>
        <n v="0.1012"/>
        <n v="6.1200000000000004E-2"/>
        <n v="4.2800000000000005E-2"/>
        <n v="3.6600000000000001E-2"/>
        <n v="7.7600000000000002E-2"/>
        <n v="9.1300000000000006E-2"/>
        <n v="0.1016"/>
        <n v="2.87E-2"/>
        <n v="8.2699999999999996E-2"/>
        <n v="2.5000000000000001E-2"/>
        <n v="7.1800000000000003E-2"/>
        <n v="2.92E-2"/>
        <n v="4.24E-2"/>
        <n v="1.2E-2"/>
        <n v="9.64E-2"/>
        <n v="4.4299999999999999E-2"/>
        <n v="5.33E-2"/>
        <n v="7.2700000000000001E-2"/>
        <n v="4.3200000000000002E-2"/>
        <n v="3.4500000000000003E-2"/>
        <n v="4.07E-2"/>
        <n v="7.3300000000000004E-2"/>
        <n v="9.9000000000000005E-2"/>
        <n v="8.8100000000000012E-2"/>
        <n v="5.4699999999999999E-2"/>
        <n v="9.5199999999999993E-2"/>
        <n v="2.3700000000000002E-2"/>
        <n v="6.5299999999999997E-2"/>
        <n v="8.8599999999999998E-2"/>
        <n v="3.8599999999999995E-2"/>
        <n v="3.7900000000000003E-2"/>
        <n v="1.09E-2"/>
        <n v="0.1036"/>
        <n v="4.2699999999999995E-2"/>
        <n v="3.1099999999999999E-2"/>
        <n v="7.2300000000000003E-2"/>
        <n v="4.0500000000000001E-2"/>
        <n v="3.4700000000000002E-2"/>
        <n v="7.8799999999999995E-2"/>
        <n v="8.3800000000000013E-2"/>
        <n v="3.44E-2"/>
        <n v="9.3900000000000011E-2"/>
        <n v="2.4700000000000003E-2"/>
        <n v="6.3E-2"/>
        <n v="8.4700000000000011E-2"/>
        <n v="4.2999999999999997E-2"/>
        <n v="4.4500000000000005E-2"/>
        <n v="2.9300000000000003E-2"/>
        <n v="1.1000000000000001E-2"/>
        <n v="7.2000000000000008E-2"/>
        <n v="4.3799999999999999E-2"/>
        <n v="4.2000000000000003E-2"/>
        <n v="9.74E-2"/>
        <n v="5.0900000000000001E-2"/>
        <n v="2.9700000000000001E-2"/>
        <n v="8.8200000000000001E-2"/>
        <n v="2.5099999999999997E-2"/>
        <n v="6.2699999999999992E-2"/>
        <n v="8.5199999999999998E-2"/>
        <n v="4.6300000000000001E-2"/>
        <n v="2.7000000000000003E-2"/>
        <n v="3.7000000000000005E-2"/>
        <n v="1.0800000000000001E-2"/>
        <n v="0.1032"/>
        <n v="3.8699999999999998E-2"/>
        <n v="5.5E-2"/>
        <n v="3.56E-2"/>
        <n v="4.0199999999999993E-2"/>
        <n v="3.7999999999999999E-2"/>
        <n v="9.9700000000000011E-2"/>
        <n v="5.0700000000000002E-2"/>
        <n v="8.5600000000000009E-2"/>
        <n v="6.1900000000000004E-2"/>
        <n v="8.0399999999999985E-2"/>
      </sharedItems>
    </cacheField>
    <cacheField name="Days (Date)" numFmtId="0" databaseField="0">
      <fieldGroup base="2">
        <rangePr groupBy="days" startDate="2024-01-01T00:00:00" endDate="2024-12-02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4"/>
        </groupItems>
      </fieldGroup>
    </cacheField>
    <cacheField name="Months (Date)" numFmtId="0" databaseField="0">
      <fieldGroup base="2">
        <rangePr groupBy="months" startDate="2024-01-01T00:00:00" endDate="2024-12-02T00:00:00"/>
        <groupItems count="14">
          <s v="&lt;1/1/2024"/>
          <s v="Jan"/>
          <s v="Feb"/>
          <s v="Mar"/>
          <s v="Apr"/>
          <s v="May"/>
          <s v="Jun"/>
          <s v="Jul"/>
          <s v="Aug"/>
          <s v="Sep"/>
          <s v="Oct"/>
          <s v="Nov"/>
          <s v="Dec"/>
          <s v="&gt;12/2/2024"/>
        </groupItems>
      </fieldGroup>
    </cacheField>
  </cacheFields>
  <extLst>
    <ext xmlns:x14="http://schemas.microsoft.com/office/spreadsheetml/2009/9/main" uri="{725AE2AE-9491-48be-B2B4-4EB974FC3084}">
      <x14:pivotCacheDefinition pivotCacheId="13836156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x v="0"/>
    <x v="0"/>
    <x v="0"/>
    <n v="330.42"/>
    <x v="0"/>
    <n v="0.58333333333333337"/>
    <x v="0"/>
    <n v="3"/>
    <x v="0"/>
  </r>
  <r>
    <x v="1"/>
    <x v="0"/>
    <x v="0"/>
    <x v="1"/>
    <x v="0"/>
    <n v="377.5"/>
    <x v="1"/>
    <n v="0.33333333333333331"/>
    <x v="1"/>
    <n v="2"/>
    <x v="1"/>
  </r>
  <r>
    <x v="2"/>
    <x v="0"/>
    <x v="0"/>
    <x v="2"/>
    <x v="1"/>
    <n v="418.92"/>
    <x v="2"/>
    <n v="0.14285714285714285"/>
    <x v="2"/>
    <n v="1"/>
    <x v="2"/>
  </r>
  <r>
    <x v="3"/>
    <x v="0"/>
    <x v="0"/>
    <x v="3"/>
    <x v="2"/>
    <n v="76.930000000000007"/>
    <x v="1"/>
    <n v="0.66666666666666663"/>
    <x v="3"/>
    <n v="3"/>
    <x v="3"/>
  </r>
  <r>
    <x v="4"/>
    <x v="0"/>
    <x v="0"/>
    <x v="4"/>
    <x v="3"/>
    <n v="516.23"/>
    <x v="3"/>
    <n v="0.3125"/>
    <x v="4"/>
    <n v="2"/>
    <x v="4"/>
  </r>
  <r>
    <x v="5"/>
    <x v="0"/>
    <x v="0"/>
    <x v="5"/>
    <x v="4"/>
    <n v="520.05999999999995"/>
    <x v="4"/>
    <n v="0.6"/>
    <x v="5"/>
    <n v="1"/>
    <x v="5"/>
  </r>
  <r>
    <x v="6"/>
    <x v="0"/>
    <x v="0"/>
    <x v="6"/>
    <x v="5"/>
    <n v="290.39"/>
    <x v="4"/>
    <n v="0.15789473684210525"/>
    <x v="6"/>
    <n v="3"/>
    <x v="6"/>
  </r>
  <r>
    <x v="7"/>
    <x v="0"/>
    <x v="0"/>
    <x v="7"/>
    <x v="6"/>
    <n v="251.7"/>
    <x v="3"/>
    <n v="0.7142857142857143"/>
    <x v="7"/>
    <n v="2"/>
    <x v="4"/>
  </r>
  <r>
    <x v="8"/>
    <x v="0"/>
    <x v="0"/>
    <x v="8"/>
    <x v="7"/>
    <n v="362.62"/>
    <x v="5"/>
    <n v="0.42857142857142855"/>
    <x v="8"/>
    <n v="1"/>
    <x v="7"/>
  </r>
  <r>
    <x v="9"/>
    <x v="0"/>
    <x v="0"/>
    <x v="5"/>
    <x v="8"/>
    <n v="307.49"/>
    <x v="6"/>
    <n v="0.76923076923076927"/>
    <x v="9"/>
    <n v="3"/>
    <x v="8"/>
  </r>
  <r>
    <x v="10"/>
    <x v="0"/>
    <x v="0"/>
    <x v="9"/>
    <x v="9"/>
    <n v="206.81"/>
    <x v="0"/>
    <n v="0.875"/>
    <x v="10"/>
    <n v="2"/>
    <x v="9"/>
  </r>
  <r>
    <x v="11"/>
    <x v="0"/>
    <x v="0"/>
    <x v="10"/>
    <x v="2"/>
    <n v="547.6"/>
    <x v="3"/>
    <n v="0.83333333333333337"/>
    <x v="11"/>
    <n v="1"/>
    <x v="10"/>
  </r>
  <r>
    <x v="12"/>
    <x v="0"/>
    <x v="0"/>
    <x v="11"/>
    <x v="10"/>
    <n v="552.54999999999995"/>
    <x v="2"/>
    <n v="0.11764705882352941"/>
    <x v="12"/>
    <n v="1"/>
    <x v="11"/>
  </r>
  <r>
    <x v="13"/>
    <x v="0"/>
    <x v="0"/>
    <x v="10"/>
    <x v="11"/>
    <n v="216.03"/>
    <x v="2"/>
    <n v="0.22222222222222221"/>
    <x v="13"/>
    <n v="3"/>
    <x v="12"/>
  </r>
  <r>
    <x v="14"/>
    <x v="0"/>
    <x v="0"/>
    <x v="12"/>
    <x v="12"/>
    <n v="208.23"/>
    <x v="4"/>
    <n v="0.3"/>
    <x v="14"/>
    <n v="2"/>
    <x v="13"/>
  </r>
  <r>
    <x v="15"/>
    <x v="0"/>
    <x v="0"/>
    <x v="13"/>
    <x v="13"/>
    <n v="180.06"/>
    <x v="1"/>
    <n v="1"/>
    <x v="15"/>
    <n v="1"/>
    <x v="14"/>
  </r>
  <r>
    <x v="16"/>
    <x v="0"/>
    <x v="0"/>
    <x v="4"/>
    <x v="6"/>
    <n v="82.43"/>
    <x v="0"/>
    <n v="1"/>
    <x v="16"/>
    <n v="3"/>
    <x v="15"/>
  </r>
  <r>
    <x v="17"/>
    <x v="0"/>
    <x v="0"/>
    <x v="14"/>
    <x v="10"/>
    <n v="476.95"/>
    <x v="0"/>
    <n v="0.41176470588235292"/>
    <x v="17"/>
    <n v="2"/>
    <x v="16"/>
  </r>
  <r>
    <x v="18"/>
    <x v="0"/>
    <x v="0"/>
    <x v="15"/>
    <x v="14"/>
    <n v="161.41999999999999"/>
    <x v="1"/>
    <n v="0.2"/>
    <x v="18"/>
    <n v="1"/>
    <x v="17"/>
  </r>
  <r>
    <x v="19"/>
    <x v="0"/>
    <x v="0"/>
    <x v="16"/>
    <x v="0"/>
    <n v="507.45"/>
    <x v="7"/>
    <n v="0"/>
    <x v="19"/>
    <n v="3"/>
    <x v="18"/>
  </r>
  <r>
    <x v="20"/>
    <x v="0"/>
    <x v="0"/>
    <x v="17"/>
    <x v="1"/>
    <n v="279.95"/>
    <x v="2"/>
    <n v="0.14285714285714285"/>
    <x v="20"/>
    <n v="2"/>
    <x v="19"/>
  </r>
  <r>
    <x v="21"/>
    <x v="0"/>
    <x v="0"/>
    <x v="18"/>
    <x v="2"/>
    <n v="532.83000000000004"/>
    <x v="8"/>
    <n v="0.16666666666666666"/>
    <x v="21"/>
    <n v="1"/>
    <x v="20"/>
  </r>
  <r>
    <x v="22"/>
    <x v="0"/>
    <x v="0"/>
    <x v="19"/>
    <x v="9"/>
    <n v="170.49"/>
    <x v="0"/>
    <n v="0.875"/>
    <x v="22"/>
    <n v="3"/>
    <x v="21"/>
  </r>
  <r>
    <x v="23"/>
    <x v="1"/>
    <x v="0"/>
    <x v="15"/>
    <x v="8"/>
    <n v="422.39"/>
    <x v="8"/>
    <n v="7.6923076923076927E-2"/>
    <x v="23"/>
    <n v="2"/>
    <x v="22"/>
  </r>
  <r>
    <x v="24"/>
    <x v="1"/>
    <x v="0"/>
    <x v="20"/>
    <x v="12"/>
    <n v="514.25"/>
    <x v="1"/>
    <n v="0.4"/>
    <x v="24"/>
    <n v="1"/>
    <x v="23"/>
  </r>
  <r>
    <x v="25"/>
    <x v="1"/>
    <x v="0"/>
    <x v="21"/>
    <x v="15"/>
    <n v="363.48"/>
    <x v="0"/>
    <n v="0.46666666666666667"/>
    <x v="25"/>
    <n v="3"/>
    <x v="24"/>
  </r>
  <r>
    <x v="0"/>
    <x v="1"/>
    <x v="1"/>
    <x v="22"/>
    <x v="15"/>
    <n v="361.38"/>
    <x v="9"/>
    <n v="0.4"/>
    <x v="26"/>
    <n v="2"/>
    <x v="25"/>
  </r>
  <r>
    <x v="1"/>
    <x v="1"/>
    <x v="1"/>
    <x v="4"/>
    <x v="1"/>
    <n v="362.96"/>
    <x v="3"/>
    <n v="0.35714285714285715"/>
    <x v="27"/>
    <n v="1"/>
    <x v="26"/>
  </r>
  <r>
    <x v="2"/>
    <x v="1"/>
    <x v="1"/>
    <x v="23"/>
    <x v="1"/>
    <n v="382.59"/>
    <x v="4"/>
    <n v="0.21428571428571427"/>
    <x v="28"/>
    <n v="3"/>
    <x v="27"/>
  </r>
  <r>
    <x v="3"/>
    <x v="1"/>
    <x v="1"/>
    <x v="24"/>
    <x v="6"/>
    <n v="79.459999999999994"/>
    <x v="4"/>
    <n v="0.42857142857142855"/>
    <x v="29"/>
    <n v="2"/>
    <x v="28"/>
  </r>
  <r>
    <x v="4"/>
    <x v="1"/>
    <x v="1"/>
    <x v="25"/>
    <x v="16"/>
    <n v="446.3"/>
    <x v="3"/>
    <n v="0.45454545454545453"/>
    <x v="30"/>
    <n v="1"/>
    <x v="29"/>
  </r>
  <r>
    <x v="5"/>
    <x v="1"/>
    <x v="1"/>
    <x v="26"/>
    <x v="6"/>
    <n v="461.67"/>
    <x v="2"/>
    <n v="0.2857142857142857"/>
    <x v="31"/>
    <n v="3"/>
    <x v="30"/>
  </r>
  <r>
    <x v="6"/>
    <x v="1"/>
    <x v="1"/>
    <x v="27"/>
    <x v="14"/>
    <n v="328.63"/>
    <x v="4"/>
    <n v="0.15"/>
    <x v="32"/>
    <n v="2"/>
    <x v="31"/>
  </r>
  <r>
    <x v="7"/>
    <x v="1"/>
    <x v="1"/>
    <x v="28"/>
    <x v="6"/>
    <n v="247.66"/>
    <x v="9"/>
    <n v="0.8571428571428571"/>
    <x v="33"/>
    <n v="1"/>
    <x v="32"/>
  </r>
  <r>
    <x v="8"/>
    <x v="1"/>
    <x v="1"/>
    <x v="29"/>
    <x v="10"/>
    <n v="378.61"/>
    <x v="6"/>
    <n v="0.58823529411764708"/>
    <x v="34"/>
    <n v="3"/>
    <x v="33"/>
  </r>
  <r>
    <x v="9"/>
    <x v="1"/>
    <x v="1"/>
    <x v="6"/>
    <x v="3"/>
    <n v="299.58999999999997"/>
    <x v="5"/>
    <n v="0.5625"/>
    <x v="35"/>
    <n v="2"/>
    <x v="29"/>
  </r>
  <r>
    <x v="10"/>
    <x v="1"/>
    <x v="1"/>
    <x v="30"/>
    <x v="11"/>
    <n v="202.4"/>
    <x v="0"/>
    <n v="0.77777777777777779"/>
    <x v="36"/>
    <n v="1"/>
    <x v="34"/>
  </r>
  <r>
    <x v="11"/>
    <x v="1"/>
    <x v="1"/>
    <x v="31"/>
    <x v="2"/>
    <n v="568.38"/>
    <x v="9"/>
    <n v="1"/>
    <x v="37"/>
    <n v="1"/>
    <x v="35"/>
  </r>
  <r>
    <x v="12"/>
    <x v="1"/>
    <x v="1"/>
    <x v="6"/>
    <x v="7"/>
    <n v="553.08000000000004"/>
    <x v="4"/>
    <n v="0.14285714285714285"/>
    <x v="38"/>
    <n v="3"/>
    <x v="36"/>
  </r>
  <r>
    <x v="13"/>
    <x v="1"/>
    <x v="1"/>
    <x v="32"/>
    <x v="9"/>
    <n v="223.22"/>
    <x v="2"/>
    <n v="0.25"/>
    <x v="39"/>
    <n v="2"/>
    <x v="1"/>
  </r>
  <r>
    <x v="14"/>
    <x v="1"/>
    <x v="1"/>
    <x v="33"/>
    <x v="9"/>
    <n v="199.93"/>
    <x v="2"/>
    <n v="0.25"/>
    <x v="40"/>
    <n v="1"/>
    <x v="37"/>
  </r>
  <r>
    <x v="15"/>
    <x v="1"/>
    <x v="1"/>
    <x v="15"/>
    <x v="2"/>
    <n v="180.46"/>
    <x v="3"/>
    <n v="0.83333333333333337"/>
    <x v="41"/>
    <n v="3"/>
    <x v="38"/>
  </r>
  <r>
    <x v="16"/>
    <x v="1"/>
    <x v="1"/>
    <x v="15"/>
    <x v="6"/>
    <n v="80.12"/>
    <x v="9"/>
    <n v="0.8571428571428571"/>
    <x v="42"/>
    <n v="2"/>
    <x v="39"/>
  </r>
  <r>
    <x v="17"/>
    <x v="1"/>
    <x v="1"/>
    <x v="34"/>
    <x v="1"/>
    <n v="563.79"/>
    <x v="10"/>
    <n v="0.5714285714285714"/>
    <x v="43"/>
    <n v="1"/>
    <x v="40"/>
  </r>
  <r>
    <x v="18"/>
    <x v="1"/>
    <x v="1"/>
    <x v="35"/>
    <x v="14"/>
    <n v="193.39"/>
    <x v="3"/>
    <n v="0.25"/>
    <x v="44"/>
    <n v="3"/>
    <x v="41"/>
  </r>
  <r>
    <x v="19"/>
    <x v="1"/>
    <x v="1"/>
    <x v="36"/>
    <x v="16"/>
    <n v="454.77"/>
    <x v="8"/>
    <n v="9.0909090909090912E-2"/>
    <x v="45"/>
    <n v="2"/>
    <x v="42"/>
  </r>
  <r>
    <x v="20"/>
    <x v="1"/>
    <x v="1"/>
    <x v="24"/>
    <x v="10"/>
    <n v="291.97000000000003"/>
    <x v="8"/>
    <n v="5.8823529411764705E-2"/>
    <x v="46"/>
    <n v="1"/>
    <x v="43"/>
  </r>
  <r>
    <x v="21"/>
    <x v="1"/>
    <x v="1"/>
    <x v="1"/>
    <x v="4"/>
    <n v="553.86"/>
    <x v="8"/>
    <n v="0.2"/>
    <x v="47"/>
    <n v="3"/>
    <x v="44"/>
  </r>
  <r>
    <x v="22"/>
    <x v="1"/>
    <x v="1"/>
    <x v="6"/>
    <x v="6"/>
    <n v="171.76"/>
    <x v="0"/>
    <n v="1"/>
    <x v="48"/>
    <n v="2"/>
    <x v="45"/>
  </r>
  <r>
    <x v="23"/>
    <x v="1"/>
    <x v="1"/>
    <x v="35"/>
    <x v="3"/>
    <n v="382.21"/>
    <x v="8"/>
    <n v="6.25E-2"/>
    <x v="49"/>
    <n v="3"/>
    <x v="46"/>
  </r>
  <r>
    <x v="24"/>
    <x v="1"/>
    <x v="1"/>
    <x v="14"/>
    <x v="16"/>
    <n v="562.73"/>
    <x v="1"/>
    <n v="0.36363636363636365"/>
    <x v="50"/>
    <n v="2"/>
    <x v="47"/>
  </r>
  <r>
    <x v="25"/>
    <x v="1"/>
    <x v="1"/>
    <x v="8"/>
    <x v="10"/>
    <n v="380.37"/>
    <x v="0"/>
    <n v="0.41176470588235292"/>
    <x v="51"/>
    <n v="1"/>
    <x v="48"/>
  </r>
  <r>
    <x v="0"/>
    <x v="1"/>
    <x v="2"/>
    <x v="37"/>
    <x v="10"/>
    <n v="315.62"/>
    <x v="3"/>
    <n v="0.29411764705882354"/>
    <x v="52"/>
    <n v="3"/>
    <x v="49"/>
  </r>
  <r>
    <x v="1"/>
    <x v="1"/>
    <x v="2"/>
    <x v="38"/>
    <x v="12"/>
    <n v="361.58"/>
    <x v="1"/>
    <n v="0.4"/>
    <x v="53"/>
    <n v="2"/>
    <x v="26"/>
  </r>
  <r>
    <x v="2"/>
    <x v="1"/>
    <x v="2"/>
    <x v="5"/>
    <x v="8"/>
    <n v="402.9"/>
    <x v="2"/>
    <n v="0.15384615384615385"/>
    <x v="54"/>
    <n v="1"/>
    <x v="50"/>
  </r>
  <r>
    <x v="3"/>
    <x v="1"/>
    <x v="2"/>
    <x v="39"/>
    <x v="2"/>
    <n v="82.65"/>
    <x v="4"/>
    <n v="0.5"/>
    <x v="55"/>
    <n v="3"/>
    <x v="51"/>
  </r>
  <r>
    <x v="4"/>
    <x v="1"/>
    <x v="2"/>
    <x v="40"/>
    <x v="1"/>
    <n v="494.43"/>
    <x v="1"/>
    <n v="0.2857142857142857"/>
    <x v="56"/>
    <n v="2"/>
    <x v="52"/>
  </r>
  <r>
    <x v="5"/>
    <x v="1"/>
    <x v="2"/>
    <x v="41"/>
    <x v="9"/>
    <n v="512.92999999999995"/>
    <x v="4"/>
    <n v="0.375"/>
    <x v="57"/>
    <n v="1"/>
    <x v="53"/>
  </r>
  <r>
    <x v="6"/>
    <x v="1"/>
    <x v="2"/>
    <x v="42"/>
    <x v="17"/>
    <n v="291.04000000000002"/>
    <x v="2"/>
    <n v="0.1111111111111111"/>
    <x v="58"/>
    <n v="3"/>
    <x v="54"/>
  </r>
  <r>
    <x v="7"/>
    <x v="1"/>
    <x v="2"/>
    <x v="22"/>
    <x v="11"/>
    <n v="252.77"/>
    <x v="0"/>
    <n v="0.77777777777777779"/>
    <x v="59"/>
    <n v="2"/>
    <x v="26"/>
  </r>
  <r>
    <x v="8"/>
    <x v="1"/>
    <x v="2"/>
    <x v="43"/>
    <x v="17"/>
    <n v="348.57"/>
    <x v="10"/>
    <n v="0.44444444444444442"/>
    <x v="60"/>
    <n v="1"/>
    <x v="55"/>
  </r>
  <r>
    <x v="9"/>
    <x v="1"/>
    <x v="2"/>
    <x v="12"/>
    <x v="15"/>
    <n v="321.99"/>
    <x v="10"/>
    <n v="0.53333333333333333"/>
    <x v="61"/>
    <n v="1"/>
    <x v="56"/>
  </r>
  <r>
    <x v="10"/>
    <x v="1"/>
    <x v="2"/>
    <x v="44"/>
    <x v="11"/>
    <n v="199.87"/>
    <x v="5"/>
    <n v="1"/>
    <x v="62"/>
    <n v="3"/>
    <x v="57"/>
  </r>
  <r>
    <x v="11"/>
    <x v="1"/>
    <x v="2"/>
    <x v="32"/>
    <x v="4"/>
    <n v="565.19000000000005"/>
    <x v="1"/>
    <n v="0.8"/>
    <x v="63"/>
    <n v="2"/>
    <x v="58"/>
  </r>
  <r>
    <x v="12"/>
    <x v="1"/>
    <x v="2"/>
    <x v="6"/>
    <x v="5"/>
    <n v="623.25"/>
    <x v="4"/>
    <n v="0.15789473684210525"/>
    <x v="64"/>
    <n v="1"/>
    <x v="59"/>
  </r>
  <r>
    <x v="13"/>
    <x v="1"/>
    <x v="2"/>
    <x v="14"/>
    <x v="11"/>
    <n v="209.18"/>
    <x v="2"/>
    <n v="0.22222222222222221"/>
    <x v="65"/>
    <n v="3"/>
    <x v="60"/>
  </r>
  <r>
    <x v="14"/>
    <x v="1"/>
    <x v="2"/>
    <x v="45"/>
    <x v="6"/>
    <n v="190.5"/>
    <x v="4"/>
    <n v="0.42857142857142855"/>
    <x v="66"/>
    <n v="2"/>
    <x v="61"/>
  </r>
  <r>
    <x v="15"/>
    <x v="1"/>
    <x v="2"/>
    <x v="35"/>
    <x v="4"/>
    <n v="170.12"/>
    <x v="4"/>
    <n v="0.6"/>
    <x v="67"/>
    <n v="1"/>
    <x v="62"/>
  </r>
  <r>
    <x v="16"/>
    <x v="1"/>
    <x v="2"/>
    <x v="0"/>
    <x v="6"/>
    <n v="87.89"/>
    <x v="0"/>
    <n v="1"/>
    <x v="68"/>
    <n v="3"/>
    <x v="63"/>
  </r>
  <r>
    <x v="17"/>
    <x v="1"/>
    <x v="2"/>
    <x v="34"/>
    <x v="1"/>
    <n v="498.82"/>
    <x v="3"/>
    <n v="0.35714285714285715"/>
    <x v="69"/>
    <n v="2"/>
    <x v="64"/>
  </r>
  <r>
    <x v="18"/>
    <x v="2"/>
    <x v="2"/>
    <x v="46"/>
    <x v="15"/>
    <n v="163.21"/>
    <x v="3"/>
    <n v="0.33333333333333331"/>
    <x v="70"/>
    <n v="1"/>
    <x v="65"/>
  </r>
  <r>
    <x v="19"/>
    <x v="2"/>
    <x v="2"/>
    <x v="47"/>
    <x v="8"/>
    <n v="496.4"/>
    <x v="7"/>
    <n v="0"/>
    <x v="71"/>
    <n v="3"/>
    <x v="66"/>
  </r>
  <r>
    <x v="20"/>
    <x v="2"/>
    <x v="2"/>
    <x v="34"/>
    <x v="8"/>
    <n v="315.41000000000003"/>
    <x v="8"/>
    <n v="7.6923076923076927E-2"/>
    <x v="72"/>
    <n v="2"/>
    <x v="67"/>
  </r>
  <r>
    <x v="21"/>
    <x v="2"/>
    <x v="2"/>
    <x v="48"/>
    <x v="2"/>
    <n v="535.37"/>
    <x v="2"/>
    <n v="0.33333333333333331"/>
    <x v="73"/>
    <n v="1"/>
    <x v="68"/>
  </r>
  <r>
    <x v="22"/>
    <x v="2"/>
    <x v="2"/>
    <x v="22"/>
    <x v="9"/>
    <n v="198.84"/>
    <x v="10"/>
    <n v="1"/>
    <x v="74"/>
    <n v="3"/>
    <x v="69"/>
  </r>
  <r>
    <x v="23"/>
    <x v="2"/>
    <x v="2"/>
    <x v="49"/>
    <x v="1"/>
    <n v="416.78"/>
    <x v="8"/>
    <n v="7.1428571428571425E-2"/>
    <x v="75"/>
    <n v="2"/>
    <x v="70"/>
  </r>
  <r>
    <x v="24"/>
    <x v="2"/>
    <x v="2"/>
    <x v="50"/>
    <x v="0"/>
    <n v="533.85"/>
    <x v="3"/>
    <n v="0.41666666666666669"/>
    <x v="76"/>
    <n v="1"/>
    <x v="71"/>
  </r>
  <r>
    <x v="25"/>
    <x v="2"/>
    <x v="2"/>
    <x v="51"/>
    <x v="3"/>
    <n v="312.8"/>
    <x v="10"/>
    <n v="0.5"/>
    <x v="77"/>
    <n v="3"/>
    <x v="72"/>
  </r>
  <r>
    <x v="0"/>
    <x v="2"/>
    <x v="3"/>
    <x v="33"/>
    <x v="10"/>
    <n v="342.81"/>
    <x v="9"/>
    <n v="0.35294117647058826"/>
    <x v="78"/>
    <n v="2"/>
    <x v="73"/>
  </r>
  <r>
    <x v="1"/>
    <x v="2"/>
    <x v="3"/>
    <x v="35"/>
    <x v="16"/>
    <n v="365.12"/>
    <x v="3"/>
    <n v="0.45454545454545453"/>
    <x v="79"/>
    <n v="1"/>
    <x v="74"/>
  </r>
  <r>
    <x v="2"/>
    <x v="2"/>
    <x v="3"/>
    <x v="52"/>
    <x v="1"/>
    <n v="416.88"/>
    <x v="2"/>
    <n v="0.14285714285714285"/>
    <x v="80"/>
    <n v="3"/>
    <x v="75"/>
  </r>
  <r>
    <x v="3"/>
    <x v="2"/>
    <x v="3"/>
    <x v="53"/>
    <x v="6"/>
    <n v="81.14"/>
    <x v="4"/>
    <n v="0.42857142857142855"/>
    <x v="81"/>
    <n v="2"/>
    <x v="76"/>
  </r>
  <r>
    <x v="4"/>
    <x v="2"/>
    <x v="3"/>
    <x v="54"/>
    <x v="3"/>
    <n v="449.04"/>
    <x v="1"/>
    <n v="0.25"/>
    <x v="82"/>
    <n v="1"/>
    <x v="77"/>
  </r>
  <r>
    <x v="5"/>
    <x v="2"/>
    <x v="3"/>
    <x v="55"/>
    <x v="2"/>
    <n v="508.55"/>
    <x v="4"/>
    <n v="0.5"/>
    <x v="83"/>
    <n v="3"/>
    <x v="78"/>
  </r>
  <r>
    <x v="6"/>
    <x v="2"/>
    <x v="3"/>
    <x v="55"/>
    <x v="17"/>
    <n v="299.08999999999997"/>
    <x v="2"/>
    <n v="0.1111111111111111"/>
    <x v="84"/>
    <n v="2"/>
    <x v="79"/>
  </r>
  <r>
    <x v="7"/>
    <x v="2"/>
    <x v="3"/>
    <x v="56"/>
    <x v="2"/>
    <n v="246.21"/>
    <x v="3"/>
    <n v="0.83333333333333337"/>
    <x v="85"/>
    <n v="1"/>
    <x v="80"/>
  </r>
  <r>
    <x v="8"/>
    <x v="2"/>
    <x v="3"/>
    <x v="57"/>
    <x v="3"/>
    <n v="412.07"/>
    <x v="6"/>
    <n v="0.625"/>
    <x v="86"/>
    <n v="1"/>
    <x v="81"/>
  </r>
  <r>
    <x v="9"/>
    <x v="2"/>
    <x v="3"/>
    <x v="47"/>
    <x v="8"/>
    <n v="317.58"/>
    <x v="10"/>
    <n v="0.61538461538461542"/>
    <x v="87"/>
    <n v="3"/>
    <x v="82"/>
  </r>
  <r>
    <x v="10"/>
    <x v="2"/>
    <x v="3"/>
    <x v="44"/>
    <x v="6"/>
    <n v="181.58"/>
    <x v="9"/>
    <n v="0.8571428571428571"/>
    <x v="88"/>
    <n v="2"/>
    <x v="83"/>
  </r>
  <r>
    <x v="11"/>
    <x v="2"/>
    <x v="3"/>
    <x v="29"/>
    <x v="6"/>
    <n v="470.85"/>
    <x v="0"/>
    <n v="1"/>
    <x v="89"/>
    <n v="1"/>
    <x v="50"/>
  </r>
  <r>
    <x v="12"/>
    <x v="2"/>
    <x v="3"/>
    <x v="4"/>
    <x v="3"/>
    <n v="584.29999999999995"/>
    <x v="4"/>
    <n v="0.1875"/>
    <x v="90"/>
    <n v="3"/>
    <x v="84"/>
  </r>
  <r>
    <x v="13"/>
    <x v="2"/>
    <x v="3"/>
    <x v="58"/>
    <x v="2"/>
    <n v="231.59"/>
    <x v="2"/>
    <n v="0.33333333333333331"/>
    <x v="91"/>
    <n v="2"/>
    <x v="85"/>
  </r>
  <r>
    <x v="14"/>
    <x v="3"/>
    <x v="3"/>
    <x v="33"/>
    <x v="11"/>
    <n v="221.01"/>
    <x v="4"/>
    <n v="0.33333333333333331"/>
    <x v="92"/>
    <n v="1"/>
    <x v="86"/>
  </r>
  <r>
    <x v="15"/>
    <x v="3"/>
    <x v="3"/>
    <x v="59"/>
    <x v="2"/>
    <n v="165.74"/>
    <x v="9"/>
    <n v="1"/>
    <x v="93"/>
    <n v="3"/>
    <x v="87"/>
  </r>
  <r>
    <x v="16"/>
    <x v="3"/>
    <x v="3"/>
    <x v="60"/>
    <x v="6"/>
    <n v="82.62"/>
    <x v="9"/>
    <n v="0.8571428571428571"/>
    <x v="94"/>
    <n v="2"/>
    <x v="88"/>
  </r>
  <r>
    <x v="17"/>
    <x v="3"/>
    <x v="3"/>
    <x v="58"/>
    <x v="10"/>
    <n v="526.34"/>
    <x v="9"/>
    <n v="0.35294117647058826"/>
    <x v="95"/>
    <n v="1"/>
    <x v="89"/>
  </r>
  <r>
    <x v="18"/>
    <x v="3"/>
    <x v="3"/>
    <x v="61"/>
    <x v="18"/>
    <n v="190.87"/>
    <x v="1"/>
    <n v="0.18181818181818182"/>
    <x v="96"/>
    <n v="3"/>
    <x v="90"/>
  </r>
  <r>
    <x v="19"/>
    <x v="3"/>
    <x v="3"/>
    <x v="19"/>
    <x v="16"/>
    <n v="554.51"/>
    <x v="8"/>
    <n v="9.0909090909090912E-2"/>
    <x v="97"/>
    <n v="2"/>
    <x v="42"/>
  </r>
  <r>
    <x v="20"/>
    <x v="3"/>
    <x v="3"/>
    <x v="24"/>
    <x v="8"/>
    <n v="302.49"/>
    <x v="2"/>
    <n v="0.15384615384615385"/>
    <x v="98"/>
    <n v="3"/>
    <x v="91"/>
  </r>
  <r>
    <x v="21"/>
    <x v="3"/>
    <x v="3"/>
    <x v="38"/>
    <x v="4"/>
    <n v="605.11"/>
    <x v="2"/>
    <n v="0.4"/>
    <x v="99"/>
    <n v="2"/>
    <x v="92"/>
  </r>
  <r>
    <x v="22"/>
    <x v="3"/>
    <x v="3"/>
    <x v="40"/>
    <x v="9"/>
    <n v="173.88"/>
    <x v="9"/>
    <n v="0.75"/>
    <x v="100"/>
    <n v="1"/>
    <x v="93"/>
  </r>
  <r>
    <x v="23"/>
    <x v="3"/>
    <x v="3"/>
    <x v="27"/>
    <x v="10"/>
    <n v="366.84"/>
    <x v="7"/>
    <n v="0"/>
    <x v="101"/>
    <n v="3"/>
    <x v="94"/>
  </r>
  <r>
    <x v="24"/>
    <x v="3"/>
    <x v="3"/>
    <x v="43"/>
    <x v="11"/>
    <n v="578.41999999999996"/>
    <x v="1"/>
    <n v="0.44444444444444442"/>
    <x v="102"/>
    <n v="2"/>
    <x v="57"/>
  </r>
  <r>
    <x v="25"/>
    <x v="3"/>
    <x v="3"/>
    <x v="62"/>
    <x v="1"/>
    <n v="321.29000000000002"/>
    <x v="0"/>
    <n v="0.5"/>
    <x v="103"/>
    <n v="1"/>
    <x v="95"/>
  </r>
  <r>
    <x v="0"/>
    <x v="3"/>
    <x v="4"/>
    <x v="33"/>
    <x v="3"/>
    <n v="299.22000000000003"/>
    <x v="9"/>
    <n v="0.375"/>
    <x v="104"/>
    <n v="3"/>
    <x v="96"/>
  </r>
  <r>
    <x v="1"/>
    <x v="3"/>
    <x v="4"/>
    <x v="6"/>
    <x v="16"/>
    <n v="345.62"/>
    <x v="1"/>
    <n v="0.36363636363636365"/>
    <x v="105"/>
    <n v="2"/>
    <x v="26"/>
  </r>
  <r>
    <x v="2"/>
    <x v="3"/>
    <x v="4"/>
    <x v="63"/>
    <x v="10"/>
    <n v="416.96"/>
    <x v="4"/>
    <n v="0.17647058823529413"/>
    <x v="106"/>
    <n v="1"/>
    <x v="97"/>
  </r>
  <r>
    <x v="3"/>
    <x v="3"/>
    <x v="4"/>
    <x v="53"/>
    <x v="9"/>
    <n v="72.05"/>
    <x v="4"/>
    <n v="0.375"/>
    <x v="107"/>
    <n v="3"/>
    <x v="98"/>
  </r>
  <r>
    <x v="4"/>
    <x v="3"/>
    <x v="4"/>
    <x v="64"/>
    <x v="8"/>
    <n v="475.61"/>
    <x v="3"/>
    <n v="0.38461538461538464"/>
    <x v="108"/>
    <n v="2"/>
    <x v="99"/>
  </r>
  <r>
    <x v="5"/>
    <x v="3"/>
    <x v="4"/>
    <x v="65"/>
    <x v="6"/>
    <n v="469.53"/>
    <x v="4"/>
    <n v="0.42857142857142855"/>
    <x v="109"/>
    <n v="1"/>
    <x v="100"/>
  </r>
  <r>
    <x v="6"/>
    <x v="3"/>
    <x v="4"/>
    <x v="66"/>
    <x v="15"/>
    <n v="333.1"/>
    <x v="2"/>
    <n v="0.13333333333333333"/>
    <x v="110"/>
    <n v="1"/>
    <x v="101"/>
  </r>
  <r>
    <x v="7"/>
    <x v="3"/>
    <x v="4"/>
    <x v="19"/>
    <x v="11"/>
    <n v="258.11"/>
    <x v="0"/>
    <n v="0.77777777777777779"/>
    <x v="111"/>
    <n v="3"/>
    <x v="102"/>
  </r>
  <r>
    <x v="8"/>
    <x v="3"/>
    <x v="4"/>
    <x v="14"/>
    <x v="14"/>
    <n v="400.8"/>
    <x v="10"/>
    <n v="0.4"/>
    <x v="112"/>
    <n v="2"/>
    <x v="103"/>
  </r>
  <r>
    <x v="9"/>
    <x v="3"/>
    <x v="4"/>
    <x v="67"/>
    <x v="5"/>
    <n v="343.28"/>
    <x v="5"/>
    <n v="0.47368421052631576"/>
    <x v="113"/>
    <n v="1"/>
    <x v="104"/>
  </r>
  <r>
    <x v="10"/>
    <x v="3"/>
    <x v="4"/>
    <x v="9"/>
    <x v="6"/>
    <n v="204.63"/>
    <x v="0"/>
    <n v="1"/>
    <x v="114"/>
    <n v="3"/>
    <x v="95"/>
  </r>
  <r>
    <x v="11"/>
    <x v="3"/>
    <x v="4"/>
    <x v="31"/>
    <x v="2"/>
    <n v="553.11"/>
    <x v="1"/>
    <n v="0.66666666666666663"/>
    <x v="115"/>
    <n v="2"/>
    <x v="105"/>
  </r>
  <r>
    <x v="12"/>
    <x v="3"/>
    <x v="4"/>
    <x v="0"/>
    <x v="14"/>
    <n v="623.33000000000004"/>
    <x v="2"/>
    <n v="0.1"/>
    <x v="116"/>
    <n v="1"/>
    <x v="85"/>
  </r>
  <r>
    <x v="13"/>
    <x v="3"/>
    <x v="4"/>
    <x v="58"/>
    <x v="6"/>
    <n v="200.45"/>
    <x v="8"/>
    <n v="0.14285714285714285"/>
    <x v="117"/>
    <n v="3"/>
    <x v="106"/>
  </r>
  <r>
    <x v="14"/>
    <x v="3"/>
    <x v="4"/>
    <x v="41"/>
    <x v="6"/>
    <n v="196.2"/>
    <x v="2"/>
    <n v="0.2857142857142857"/>
    <x v="118"/>
    <n v="2"/>
    <x v="107"/>
  </r>
  <r>
    <x v="15"/>
    <x v="3"/>
    <x v="4"/>
    <x v="68"/>
    <x v="4"/>
    <n v="185.62"/>
    <x v="1"/>
    <n v="0.8"/>
    <x v="119"/>
    <n v="1"/>
    <x v="108"/>
  </r>
  <r>
    <x v="16"/>
    <x v="3"/>
    <x v="4"/>
    <x v="38"/>
    <x v="6"/>
    <n v="89.39"/>
    <x v="9"/>
    <n v="0.8571428571428571"/>
    <x v="120"/>
    <n v="3"/>
    <x v="109"/>
  </r>
  <r>
    <x v="17"/>
    <x v="3"/>
    <x v="4"/>
    <x v="34"/>
    <x v="1"/>
    <n v="472.79"/>
    <x v="10"/>
    <n v="0.5714285714285714"/>
    <x v="121"/>
    <n v="2"/>
    <x v="110"/>
  </r>
  <r>
    <x v="18"/>
    <x v="3"/>
    <x v="4"/>
    <x v="38"/>
    <x v="15"/>
    <n v="173.03"/>
    <x v="1"/>
    <n v="0.26666666666666666"/>
    <x v="122"/>
    <n v="1"/>
    <x v="111"/>
  </r>
  <r>
    <x v="19"/>
    <x v="3"/>
    <x v="4"/>
    <x v="11"/>
    <x v="15"/>
    <n v="499.68"/>
    <x v="7"/>
    <n v="0"/>
    <x v="123"/>
    <n v="3"/>
    <x v="42"/>
  </r>
  <r>
    <x v="20"/>
    <x v="3"/>
    <x v="4"/>
    <x v="39"/>
    <x v="8"/>
    <n v="316.23"/>
    <x v="8"/>
    <n v="7.6923076923076927E-2"/>
    <x v="124"/>
    <n v="2"/>
    <x v="112"/>
  </r>
  <r>
    <x v="21"/>
    <x v="3"/>
    <x v="4"/>
    <x v="69"/>
    <x v="2"/>
    <n v="567.03"/>
    <x v="8"/>
    <n v="0.16666666666666666"/>
    <x v="125"/>
    <n v="1"/>
    <x v="89"/>
  </r>
  <r>
    <x v="22"/>
    <x v="3"/>
    <x v="4"/>
    <x v="16"/>
    <x v="9"/>
    <n v="175.52"/>
    <x v="0"/>
    <n v="0.875"/>
    <x v="126"/>
    <n v="3"/>
    <x v="113"/>
  </r>
  <r>
    <x v="23"/>
    <x v="3"/>
    <x v="4"/>
    <x v="70"/>
    <x v="8"/>
    <n v="358.31"/>
    <x v="7"/>
    <n v="0"/>
    <x v="127"/>
    <n v="2"/>
    <x v="114"/>
  </r>
  <r>
    <x v="24"/>
    <x v="3"/>
    <x v="4"/>
    <x v="20"/>
    <x v="0"/>
    <n v="556.33000000000004"/>
    <x v="1"/>
    <n v="0.33333333333333331"/>
    <x v="128"/>
    <n v="1"/>
    <x v="115"/>
  </r>
  <r>
    <x v="25"/>
    <x v="3"/>
    <x v="4"/>
    <x v="43"/>
    <x v="10"/>
    <n v="371.65"/>
    <x v="5"/>
    <n v="0.52941176470588236"/>
    <x v="129"/>
    <n v="3"/>
    <x v="72"/>
  </r>
  <r>
    <x v="0"/>
    <x v="3"/>
    <x v="5"/>
    <x v="5"/>
    <x v="3"/>
    <n v="359.47"/>
    <x v="0"/>
    <n v="0.4375"/>
    <x v="130"/>
    <n v="2"/>
    <x v="22"/>
  </r>
  <r>
    <x v="1"/>
    <x v="3"/>
    <x v="5"/>
    <x v="71"/>
    <x v="16"/>
    <n v="379.33"/>
    <x v="1"/>
    <n v="0.36363636363636365"/>
    <x v="131"/>
    <n v="1"/>
    <x v="116"/>
  </r>
  <r>
    <x v="2"/>
    <x v="3"/>
    <x v="5"/>
    <x v="28"/>
    <x v="1"/>
    <n v="383.94"/>
    <x v="4"/>
    <n v="0.21428571428571427"/>
    <x v="132"/>
    <n v="3"/>
    <x v="97"/>
  </r>
  <r>
    <x v="3"/>
    <x v="3"/>
    <x v="5"/>
    <x v="9"/>
    <x v="6"/>
    <n v="85.32"/>
    <x v="4"/>
    <n v="0.42857142857142855"/>
    <x v="133"/>
    <n v="2"/>
    <x v="117"/>
  </r>
  <r>
    <x v="4"/>
    <x v="3"/>
    <x v="5"/>
    <x v="25"/>
    <x v="1"/>
    <n v="466.81"/>
    <x v="3"/>
    <n v="0.35714285714285715"/>
    <x v="134"/>
    <n v="1"/>
    <x v="118"/>
  </r>
  <r>
    <x v="5"/>
    <x v="4"/>
    <x v="5"/>
    <x v="65"/>
    <x v="6"/>
    <n v="512.88"/>
    <x v="2"/>
    <n v="0.2857142857142857"/>
    <x v="135"/>
    <n v="1"/>
    <x v="5"/>
  </r>
  <r>
    <x v="6"/>
    <x v="4"/>
    <x v="5"/>
    <x v="64"/>
    <x v="10"/>
    <n v="324.56"/>
    <x v="4"/>
    <n v="0.17647058823529413"/>
    <x v="136"/>
    <n v="3"/>
    <x v="119"/>
  </r>
  <r>
    <x v="7"/>
    <x v="4"/>
    <x v="5"/>
    <x v="45"/>
    <x v="6"/>
    <n v="219.53"/>
    <x v="0"/>
    <n v="1"/>
    <x v="137"/>
    <n v="2"/>
    <x v="120"/>
  </r>
  <r>
    <x v="8"/>
    <x v="4"/>
    <x v="5"/>
    <x v="32"/>
    <x v="3"/>
    <n v="353.65"/>
    <x v="5"/>
    <n v="0.5625"/>
    <x v="138"/>
    <n v="1"/>
    <x v="121"/>
  </r>
  <r>
    <x v="9"/>
    <x v="4"/>
    <x v="5"/>
    <x v="12"/>
    <x v="3"/>
    <n v="334.41"/>
    <x v="5"/>
    <n v="0.5625"/>
    <x v="139"/>
    <n v="3"/>
    <x v="110"/>
  </r>
  <r>
    <x v="10"/>
    <x v="4"/>
    <x v="5"/>
    <x v="39"/>
    <x v="6"/>
    <n v="199.46"/>
    <x v="0"/>
    <n v="1"/>
    <x v="140"/>
    <n v="2"/>
    <x v="122"/>
  </r>
  <r>
    <x v="11"/>
    <x v="4"/>
    <x v="5"/>
    <x v="72"/>
    <x v="2"/>
    <n v="509.67"/>
    <x v="1"/>
    <n v="0.66666666666666663"/>
    <x v="141"/>
    <n v="1"/>
    <x v="105"/>
  </r>
  <r>
    <x v="12"/>
    <x v="4"/>
    <x v="5"/>
    <x v="16"/>
    <x v="7"/>
    <n v="601.02"/>
    <x v="2"/>
    <n v="9.5238095238095233E-2"/>
    <x v="142"/>
    <n v="3"/>
    <x v="123"/>
  </r>
  <r>
    <x v="13"/>
    <x v="4"/>
    <x v="5"/>
    <x v="10"/>
    <x v="11"/>
    <n v="196.74"/>
    <x v="8"/>
    <n v="0.1111111111111111"/>
    <x v="143"/>
    <n v="2"/>
    <x v="124"/>
  </r>
  <r>
    <x v="14"/>
    <x v="4"/>
    <x v="5"/>
    <x v="73"/>
    <x v="9"/>
    <n v="196.58"/>
    <x v="4"/>
    <n v="0.375"/>
    <x v="144"/>
    <n v="1"/>
    <x v="8"/>
  </r>
  <r>
    <x v="15"/>
    <x v="4"/>
    <x v="5"/>
    <x v="60"/>
    <x v="4"/>
    <n v="153.87"/>
    <x v="2"/>
    <n v="0.4"/>
    <x v="145"/>
    <n v="3"/>
    <x v="125"/>
  </r>
  <r>
    <x v="16"/>
    <x v="4"/>
    <x v="5"/>
    <x v="25"/>
    <x v="4"/>
    <n v="85.65"/>
    <x v="3"/>
    <n v="1"/>
    <x v="146"/>
    <n v="2"/>
    <x v="126"/>
  </r>
  <r>
    <x v="17"/>
    <x v="4"/>
    <x v="5"/>
    <x v="50"/>
    <x v="3"/>
    <n v="506.95"/>
    <x v="9"/>
    <n v="0.375"/>
    <x v="147"/>
    <n v="3"/>
    <x v="89"/>
  </r>
  <r>
    <x v="18"/>
    <x v="4"/>
    <x v="5"/>
    <x v="42"/>
    <x v="17"/>
    <n v="181.21"/>
    <x v="1"/>
    <n v="0.22222222222222221"/>
    <x v="148"/>
    <n v="2"/>
    <x v="127"/>
  </r>
  <r>
    <x v="19"/>
    <x v="4"/>
    <x v="5"/>
    <x v="33"/>
    <x v="3"/>
    <n v="495.32"/>
    <x v="7"/>
    <n v="0"/>
    <x v="149"/>
    <n v="1"/>
    <x v="42"/>
  </r>
  <r>
    <x v="20"/>
    <x v="4"/>
    <x v="5"/>
    <x v="34"/>
    <x v="3"/>
    <n v="315.91000000000003"/>
    <x v="8"/>
    <n v="6.25E-2"/>
    <x v="150"/>
    <n v="3"/>
    <x v="128"/>
  </r>
  <r>
    <x v="21"/>
    <x v="4"/>
    <x v="5"/>
    <x v="15"/>
    <x v="4"/>
    <n v="569.75"/>
    <x v="2"/>
    <n v="0.4"/>
    <x v="151"/>
    <n v="2"/>
    <x v="107"/>
  </r>
  <r>
    <x v="22"/>
    <x v="4"/>
    <x v="5"/>
    <x v="73"/>
    <x v="6"/>
    <n v="173.24"/>
    <x v="0"/>
    <n v="1"/>
    <x v="152"/>
    <n v="1"/>
    <x v="129"/>
  </r>
  <r>
    <x v="23"/>
    <x v="4"/>
    <x v="5"/>
    <x v="74"/>
    <x v="8"/>
    <n v="364.35"/>
    <x v="7"/>
    <n v="0"/>
    <x v="153"/>
    <n v="3"/>
    <x v="130"/>
  </r>
  <r>
    <x v="24"/>
    <x v="4"/>
    <x v="5"/>
    <x v="31"/>
    <x v="0"/>
    <n v="515.24"/>
    <x v="3"/>
    <n v="0.41666666666666669"/>
    <x v="154"/>
    <n v="2"/>
    <x v="131"/>
  </r>
  <r>
    <x v="25"/>
    <x v="4"/>
    <x v="5"/>
    <x v="31"/>
    <x v="3"/>
    <n v="351.71"/>
    <x v="5"/>
    <n v="0.5625"/>
    <x v="155"/>
    <n v="1"/>
    <x v="132"/>
  </r>
  <r>
    <x v="0"/>
    <x v="4"/>
    <x v="6"/>
    <x v="71"/>
    <x v="10"/>
    <n v="360.1"/>
    <x v="9"/>
    <n v="0.35294117647058826"/>
    <x v="156"/>
    <n v="3"/>
    <x v="0"/>
  </r>
  <r>
    <x v="1"/>
    <x v="4"/>
    <x v="6"/>
    <x v="22"/>
    <x v="8"/>
    <n v="364.64"/>
    <x v="1"/>
    <n v="0.30769230769230771"/>
    <x v="157"/>
    <n v="2"/>
    <x v="35"/>
  </r>
  <r>
    <x v="2"/>
    <x v="4"/>
    <x v="6"/>
    <x v="75"/>
    <x v="1"/>
    <n v="367.56"/>
    <x v="2"/>
    <n v="0.14285714285714285"/>
    <x v="158"/>
    <n v="1"/>
    <x v="133"/>
  </r>
  <r>
    <x v="3"/>
    <x v="4"/>
    <x v="6"/>
    <x v="9"/>
    <x v="2"/>
    <n v="76.27"/>
    <x v="1"/>
    <n v="0.66666666666666663"/>
    <x v="159"/>
    <n v="1"/>
    <x v="134"/>
  </r>
  <r>
    <x v="4"/>
    <x v="4"/>
    <x v="6"/>
    <x v="71"/>
    <x v="0"/>
    <n v="487.04"/>
    <x v="3"/>
    <n v="0.41666666666666669"/>
    <x v="160"/>
    <n v="3"/>
    <x v="135"/>
  </r>
  <r>
    <x v="5"/>
    <x v="4"/>
    <x v="6"/>
    <x v="76"/>
    <x v="4"/>
    <n v="491.31"/>
    <x v="4"/>
    <n v="0.6"/>
    <x v="161"/>
    <n v="2"/>
    <x v="136"/>
  </r>
  <r>
    <x v="6"/>
    <x v="4"/>
    <x v="6"/>
    <x v="40"/>
    <x v="15"/>
    <n v="282.58999999999997"/>
    <x v="2"/>
    <n v="0.13333333333333333"/>
    <x v="162"/>
    <n v="1"/>
    <x v="137"/>
  </r>
  <r>
    <x v="7"/>
    <x v="4"/>
    <x v="6"/>
    <x v="41"/>
    <x v="11"/>
    <n v="246.06"/>
    <x v="3"/>
    <n v="0.55555555555555558"/>
    <x v="163"/>
    <n v="3"/>
    <x v="11"/>
  </r>
  <r>
    <x v="8"/>
    <x v="4"/>
    <x v="6"/>
    <x v="14"/>
    <x v="15"/>
    <n v="347.38"/>
    <x v="6"/>
    <n v="0.66666666666666663"/>
    <x v="164"/>
    <n v="2"/>
    <x v="138"/>
  </r>
  <r>
    <x v="9"/>
    <x v="4"/>
    <x v="6"/>
    <x v="40"/>
    <x v="3"/>
    <n v="335.59"/>
    <x v="0"/>
    <n v="0.4375"/>
    <x v="165"/>
    <n v="1"/>
    <x v="29"/>
  </r>
  <r>
    <x v="10"/>
    <x v="4"/>
    <x v="6"/>
    <x v="53"/>
    <x v="9"/>
    <n v="208.21"/>
    <x v="1"/>
    <n v="0.5"/>
    <x v="166"/>
    <n v="3"/>
    <x v="139"/>
  </r>
  <r>
    <x v="11"/>
    <x v="4"/>
    <x v="6"/>
    <x v="77"/>
    <x v="2"/>
    <n v="553.58000000000004"/>
    <x v="4"/>
    <n v="0.5"/>
    <x v="167"/>
    <n v="2"/>
    <x v="140"/>
  </r>
  <r>
    <x v="12"/>
    <x v="4"/>
    <x v="6"/>
    <x v="55"/>
    <x v="7"/>
    <n v="604.57000000000005"/>
    <x v="2"/>
    <n v="9.5238095238095233E-2"/>
    <x v="168"/>
    <n v="1"/>
    <x v="52"/>
  </r>
  <r>
    <x v="13"/>
    <x v="4"/>
    <x v="6"/>
    <x v="8"/>
    <x v="6"/>
    <n v="199.39"/>
    <x v="8"/>
    <n v="0.14285714285714285"/>
    <x v="169"/>
    <n v="3"/>
    <x v="141"/>
  </r>
  <r>
    <x v="14"/>
    <x v="4"/>
    <x v="6"/>
    <x v="71"/>
    <x v="11"/>
    <n v="220.4"/>
    <x v="2"/>
    <n v="0.22222222222222221"/>
    <x v="170"/>
    <n v="2"/>
    <x v="142"/>
  </r>
  <r>
    <x v="15"/>
    <x v="4"/>
    <x v="6"/>
    <x v="35"/>
    <x v="4"/>
    <n v="166.85"/>
    <x v="1"/>
    <n v="0.8"/>
    <x v="171"/>
    <n v="1"/>
    <x v="143"/>
  </r>
  <r>
    <x v="16"/>
    <x v="4"/>
    <x v="6"/>
    <x v="71"/>
    <x v="6"/>
    <n v="78.53"/>
    <x v="1"/>
    <n v="0.5714285714285714"/>
    <x v="172"/>
    <n v="3"/>
    <x v="144"/>
  </r>
  <r>
    <x v="17"/>
    <x v="4"/>
    <x v="6"/>
    <x v="3"/>
    <x v="8"/>
    <n v="471.72"/>
    <x v="0"/>
    <n v="0.53846153846153844"/>
    <x v="173"/>
    <n v="2"/>
    <x v="145"/>
  </r>
  <r>
    <x v="18"/>
    <x v="4"/>
    <x v="6"/>
    <x v="67"/>
    <x v="10"/>
    <n v="176.07"/>
    <x v="3"/>
    <n v="0.29411764705882354"/>
    <x v="174"/>
    <n v="1"/>
    <x v="146"/>
  </r>
  <r>
    <x v="19"/>
    <x v="4"/>
    <x v="6"/>
    <x v="54"/>
    <x v="16"/>
    <n v="486.93"/>
    <x v="7"/>
    <n v="0"/>
    <x v="175"/>
    <n v="3"/>
    <x v="42"/>
  </r>
  <r>
    <x v="20"/>
    <x v="4"/>
    <x v="6"/>
    <x v="30"/>
    <x v="1"/>
    <n v="283.66000000000003"/>
    <x v="2"/>
    <n v="0.14285714285714285"/>
    <x v="176"/>
    <n v="2"/>
    <x v="147"/>
  </r>
  <r>
    <x v="21"/>
    <x v="4"/>
    <x v="6"/>
    <x v="78"/>
    <x v="2"/>
    <n v="536.04999999999995"/>
    <x v="8"/>
    <n v="0.16666666666666666"/>
    <x v="177"/>
    <n v="1"/>
    <x v="68"/>
  </r>
  <r>
    <x v="22"/>
    <x v="4"/>
    <x v="6"/>
    <x v="13"/>
    <x v="11"/>
    <n v="171.86"/>
    <x v="0"/>
    <n v="0.77777777777777779"/>
    <x v="178"/>
    <n v="3"/>
    <x v="148"/>
  </r>
  <r>
    <x v="23"/>
    <x v="4"/>
    <x v="6"/>
    <x v="59"/>
    <x v="15"/>
    <n v="359.16"/>
    <x v="8"/>
    <n v="6.6666666666666666E-2"/>
    <x v="179"/>
    <n v="2"/>
    <x v="149"/>
  </r>
  <r>
    <x v="24"/>
    <x v="4"/>
    <x v="6"/>
    <x v="52"/>
    <x v="11"/>
    <n v="569.97"/>
    <x v="3"/>
    <n v="0.55555555555555558"/>
    <x v="180"/>
    <n v="1"/>
    <x v="150"/>
  </r>
  <r>
    <x v="25"/>
    <x v="4"/>
    <x v="6"/>
    <x v="20"/>
    <x v="1"/>
    <n v="359.22"/>
    <x v="10"/>
    <n v="0.5714285714285714"/>
    <x v="181"/>
    <n v="3"/>
    <x v="151"/>
  </r>
  <r>
    <x v="0"/>
    <x v="4"/>
    <x v="7"/>
    <x v="71"/>
    <x v="15"/>
    <n v="297.05"/>
    <x v="9"/>
    <n v="0.4"/>
    <x v="182"/>
    <n v="2"/>
    <x v="152"/>
  </r>
  <r>
    <x v="1"/>
    <x v="4"/>
    <x v="7"/>
    <x v="66"/>
    <x v="8"/>
    <n v="376.76"/>
    <x v="3"/>
    <n v="0.38461538461538464"/>
    <x v="183"/>
    <n v="1"/>
    <x v="153"/>
  </r>
  <r>
    <x v="2"/>
    <x v="4"/>
    <x v="7"/>
    <x v="75"/>
    <x v="15"/>
    <n v="379.29"/>
    <x v="2"/>
    <n v="0.13333333333333333"/>
    <x v="184"/>
    <n v="1"/>
    <x v="75"/>
  </r>
  <r>
    <x v="3"/>
    <x v="4"/>
    <x v="7"/>
    <x v="9"/>
    <x v="9"/>
    <n v="82.91"/>
    <x v="4"/>
    <n v="0.375"/>
    <x v="185"/>
    <n v="3"/>
    <x v="154"/>
  </r>
  <r>
    <x v="4"/>
    <x v="4"/>
    <x v="7"/>
    <x v="55"/>
    <x v="1"/>
    <n v="437.47"/>
    <x v="1"/>
    <n v="0.2857142857142857"/>
    <x v="186"/>
    <n v="2"/>
    <x v="155"/>
  </r>
  <r>
    <x v="5"/>
    <x v="4"/>
    <x v="7"/>
    <x v="47"/>
    <x v="6"/>
    <n v="554.20000000000005"/>
    <x v="2"/>
    <n v="0.2857142857142857"/>
    <x v="187"/>
    <n v="1"/>
    <x v="156"/>
  </r>
  <r>
    <x v="6"/>
    <x v="4"/>
    <x v="7"/>
    <x v="54"/>
    <x v="7"/>
    <n v="293.93"/>
    <x v="2"/>
    <n v="9.5238095238095233E-2"/>
    <x v="188"/>
    <n v="3"/>
    <x v="157"/>
  </r>
  <r>
    <x v="7"/>
    <x v="4"/>
    <x v="7"/>
    <x v="47"/>
    <x v="11"/>
    <n v="255.17"/>
    <x v="9"/>
    <n v="0.66666666666666663"/>
    <x v="189"/>
    <n v="2"/>
    <x v="74"/>
  </r>
  <r>
    <x v="8"/>
    <x v="4"/>
    <x v="7"/>
    <x v="58"/>
    <x v="10"/>
    <n v="391.73"/>
    <x v="0"/>
    <n v="0.41176470588235292"/>
    <x v="190"/>
    <n v="1"/>
    <x v="158"/>
  </r>
  <r>
    <x v="9"/>
    <x v="4"/>
    <x v="7"/>
    <x v="26"/>
    <x v="8"/>
    <n v="324.26"/>
    <x v="0"/>
    <n v="0.53846153846153844"/>
    <x v="191"/>
    <n v="3"/>
    <x v="110"/>
  </r>
  <r>
    <x v="10"/>
    <x v="4"/>
    <x v="7"/>
    <x v="24"/>
    <x v="11"/>
    <n v="211.28"/>
    <x v="10"/>
    <n v="0.88888888888888884"/>
    <x v="192"/>
    <n v="2"/>
    <x v="125"/>
  </r>
  <r>
    <x v="11"/>
    <x v="4"/>
    <x v="7"/>
    <x v="32"/>
    <x v="2"/>
    <n v="549.26"/>
    <x v="2"/>
    <n v="0.33333333333333331"/>
    <x v="193"/>
    <n v="1"/>
    <x v="159"/>
  </r>
  <r>
    <x v="12"/>
    <x v="4"/>
    <x v="7"/>
    <x v="35"/>
    <x v="15"/>
    <n v="601.05999999999995"/>
    <x v="4"/>
    <n v="0.2"/>
    <x v="194"/>
    <n v="3"/>
    <x v="160"/>
  </r>
  <r>
    <x v="13"/>
    <x v="4"/>
    <x v="7"/>
    <x v="31"/>
    <x v="2"/>
    <n v="192.19"/>
    <x v="8"/>
    <n v="0.16666666666666666"/>
    <x v="195"/>
    <n v="2"/>
    <x v="124"/>
  </r>
  <r>
    <x v="14"/>
    <x v="4"/>
    <x v="7"/>
    <x v="16"/>
    <x v="9"/>
    <n v="191.76"/>
    <x v="4"/>
    <n v="0.375"/>
    <x v="196"/>
    <n v="3"/>
    <x v="92"/>
  </r>
  <r>
    <x v="15"/>
    <x v="4"/>
    <x v="7"/>
    <x v="61"/>
    <x v="13"/>
    <n v="169.75"/>
    <x v="4"/>
    <n v="0.75"/>
    <x v="197"/>
    <n v="2"/>
    <x v="161"/>
  </r>
  <r>
    <x v="16"/>
    <x v="4"/>
    <x v="7"/>
    <x v="71"/>
    <x v="2"/>
    <n v="87.5"/>
    <x v="4"/>
    <n v="0.5"/>
    <x v="198"/>
    <n v="1"/>
    <x v="162"/>
  </r>
  <r>
    <x v="17"/>
    <x v="4"/>
    <x v="7"/>
    <x v="24"/>
    <x v="1"/>
    <n v="477.3"/>
    <x v="9"/>
    <n v="0.42857142857142855"/>
    <x v="199"/>
    <n v="3"/>
    <x v="84"/>
  </r>
  <r>
    <x v="18"/>
    <x v="4"/>
    <x v="7"/>
    <x v="64"/>
    <x v="10"/>
    <n v="187.72"/>
    <x v="3"/>
    <n v="0.29411764705882354"/>
    <x v="200"/>
    <n v="2"/>
    <x v="163"/>
  </r>
  <r>
    <x v="19"/>
    <x v="4"/>
    <x v="7"/>
    <x v="79"/>
    <x v="8"/>
    <n v="504.59"/>
    <x v="7"/>
    <n v="0"/>
    <x v="201"/>
    <n v="1"/>
    <x v="42"/>
  </r>
  <r>
    <x v="20"/>
    <x v="4"/>
    <x v="7"/>
    <x v="9"/>
    <x v="0"/>
    <n v="262.26"/>
    <x v="8"/>
    <n v="8.3333333333333329E-2"/>
    <x v="202"/>
    <n v="3"/>
    <x v="128"/>
  </r>
  <r>
    <x v="21"/>
    <x v="4"/>
    <x v="7"/>
    <x v="80"/>
    <x v="2"/>
    <n v="572.16"/>
    <x v="2"/>
    <n v="0.33333333333333331"/>
    <x v="203"/>
    <n v="2"/>
    <x v="164"/>
  </r>
  <r>
    <x v="22"/>
    <x v="4"/>
    <x v="7"/>
    <x v="71"/>
    <x v="11"/>
    <n v="172.96"/>
    <x v="9"/>
    <n v="0.66666666666666663"/>
    <x v="204"/>
    <n v="1"/>
    <x v="165"/>
  </r>
  <r>
    <x v="23"/>
    <x v="4"/>
    <x v="7"/>
    <x v="81"/>
    <x v="10"/>
    <n v="422.48"/>
    <x v="7"/>
    <n v="0"/>
    <x v="205"/>
    <n v="3"/>
    <x v="166"/>
  </r>
  <r>
    <x v="24"/>
    <x v="4"/>
    <x v="7"/>
    <x v="8"/>
    <x v="12"/>
    <n v="565.11"/>
    <x v="3"/>
    <n v="0.5"/>
    <x v="206"/>
    <n v="2"/>
    <x v="167"/>
  </r>
  <r>
    <x v="25"/>
    <x v="4"/>
    <x v="7"/>
    <x v="72"/>
    <x v="10"/>
    <n v="355.83"/>
    <x v="9"/>
    <n v="0.35294117647058826"/>
    <x v="207"/>
    <n v="1"/>
    <x v="69"/>
  </r>
  <r>
    <x v="0"/>
    <x v="4"/>
    <x v="8"/>
    <x v="82"/>
    <x v="15"/>
    <n v="349.71"/>
    <x v="10"/>
    <n v="0.53333333333333333"/>
    <x v="208"/>
    <n v="1"/>
    <x v="168"/>
  </r>
  <r>
    <x v="1"/>
    <x v="4"/>
    <x v="8"/>
    <x v="78"/>
    <x v="11"/>
    <n v="358.67"/>
    <x v="3"/>
    <n v="0.55555555555555558"/>
    <x v="209"/>
    <n v="3"/>
    <x v="35"/>
  </r>
  <r>
    <x v="2"/>
    <x v="4"/>
    <x v="8"/>
    <x v="36"/>
    <x v="17"/>
    <n v="403.41"/>
    <x v="4"/>
    <n v="0.16666666666666666"/>
    <x v="210"/>
    <n v="2"/>
    <x v="169"/>
  </r>
  <r>
    <x v="3"/>
    <x v="4"/>
    <x v="8"/>
    <x v="3"/>
    <x v="6"/>
    <n v="79.62"/>
    <x v="1"/>
    <n v="0.5714285714285714"/>
    <x v="211"/>
    <n v="1"/>
    <x v="89"/>
  </r>
  <r>
    <x v="4"/>
    <x v="4"/>
    <x v="8"/>
    <x v="40"/>
    <x v="16"/>
    <n v="487.47"/>
    <x v="1"/>
    <n v="0.36363636363636365"/>
    <x v="212"/>
    <n v="3"/>
    <x v="80"/>
  </r>
  <r>
    <x v="5"/>
    <x v="4"/>
    <x v="8"/>
    <x v="33"/>
    <x v="6"/>
    <n v="549.77"/>
    <x v="2"/>
    <n v="0.2857142857142857"/>
    <x v="213"/>
    <n v="2"/>
    <x v="170"/>
  </r>
  <r>
    <x v="6"/>
    <x v="4"/>
    <x v="8"/>
    <x v="0"/>
    <x v="17"/>
    <n v="306.89999999999998"/>
    <x v="4"/>
    <n v="0.16666666666666666"/>
    <x v="214"/>
    <n v="1"/>
    <x v="171"/>
  </r>
  <r>
    <x v="7"/>
    <x v="4"/>
    <x v="8"/>
    <x v="36"/>
    <x v="6"/>
    <n v="262.27999999999997"/>
    <x v="0"/>
    <n v="1"/>
    <x v="215"/>
    <n v="3"/>
    <x v="172"/>
  </r>
  <r>
    <x v="8"/>
    <x v="4"/>
    <x v="8"/>
    <x v="58"/>
    <x v="7"/>
    <n v="359.51"/>
    <x v="5"/>
    <n v="0.42857142857142855"/>
    <x v="216"/>
    <n v="2"/>
    <x v="173"/>
  </r>
  <r>
    <x v="9"/>
    <x v="4"/>
    <x v="8"/>
    <x v="54"/>
    <x v="17"/>
    <n v="339.1"/>
    <x v="10"/>
    <n v="0.44444444444444442"/>
    <x v="217"/>
    <n v="1"/>
    <x v="16"/>
  </r>
  <r>
    <x v="10"/>
    <x v="4"/>
    <x v="8"/>
    <x v="24"/>
    <x v="6"/>
    <n v="182.47"/>
    <x v="0"/>
    <n v="1"/>
    <x v="218"/>
    <n v="3"/>
    <x v="174"/>
  </r>
  <r>
    <x v="11"/>
    <x v="4"/>
    <x v="8"/>
    <x v="20"/>
    <x v="2"/>
    <n v="553.89"/>
    <x v="9"/>
    <n v="1"/>
    <x v="219"/>
    <n v="2"/>
    <x v="175"/>
  </r>
  <r>
    <x v="12"/>
    <x v="4"/>
    <x v="8"/>
    <x v="83"/>
    <x v="7"/>
    <n v="633.13"/>
    <x v="2"/>
    <n v="9.5238095238095233E-2"/>
    <x v="220"/>
    <n v="1"/>
    <x v="176"/>
  </r>
  <r>
    <x v="13"/>
    <x v="4"/>
    <x v="8"/>
    <x v="29"/>
    <x v="9"/>
    <n v="215.09"/>
    <x v="2"/>
    <n v="0.25"/>
    <x v="221"/>
    <n v="3"/>
    <x v="177"/>
  </r>
  <r>
    <x v="14"/>
    <x v="4"/>
    <x v="8"/>
    <x v="71"/>
    <x v="9"/>
    <n v="199.19"/>
    <x v="2"/>
    <n v="0.25"/>
    <x v="222"/>
    <n v="2"/>
    <x v="0"/>
  </r>
  <r>
    <x v="15"/>
    <x v="4"/>
    <x v="8"/>
    <x v="4"/>
    <x v="4"/>
    <n v="153.5"/>
    <x v="2"/>
    <n v="0.4"/>
    <x v="223"/>
    <n v="1"/>
    <x v="178"/>
  </r>
  <r>
    <x v="16"/>
    <x v="4"/>
    <x v="8"/>
    <x v="25"/>
    <x v="4"/>
    <n v="77.12"/>
    <x v="2"/>
    <n v="0.4"/>
    <x v="224"/>
    <n v="3"/>
    <x v="179"/>
  </r>
  <r>
    <x v="17"/>
    <x v="4"/>
    <x v="8"/>
    <x v="34"/>
    <x v="10"/>
    <n v="533.41999999999996"/>
    <x v="0"/>
    <n v="0.41176470588235292"/>
    <x v="225"/>
    <n v="2"/>
    <x v="64"/>
  </r>
  <r>
    <x v="18"/>
    <x v="4"/>
    <x v="8"/>
    <x v="84"/>
    <x v="10"/>
    <n v="160.88999999999999"/>
    <x v="1"/>
    <n v="0.23529411764705882"/>
    <x v="226"/>
    <n v="1"/>
    <x v="180"/>
  </r>
  <r>
    <x v="19"/>
    <x v="4"/>
    <x v="8"/>
    <x v="55"/>
    <x v="16"/>
    <n v="459.86"/>
    <x v="7"/>
    <n v="0"/>
    <x v="227"/>
    <n v="3"/>
    <x v="42"/>
  </r>
  <r>
    <x v="20"/>
    <x v="4"/>
    <x v="8"/>
    <x v="9"/>
    <x v="8"/>
    <n v="290.14"/>
    <x v="2"/>
    <n v="0.15384615384615385"/>
    <x v="228"/>
    <n v="2"/>
    <x v="181"/>
  </r>
  <r>
    <x v="21"/>
    <x v="4"/>
    <x v="8"/>
    <x v="69"/>
    <x v="6"/>
    <n v="587.83000000000004"/>
    <x v="8"/>
    <n v="0.14285714285714285"/>
    <x v="229"/>
    <n v="1"/>
    <x v="104"/>
  </r>
  <r>
    <x v="22"/>
    <x v="4"/>
    <x v="8"/>
    <x v="67"/>
    <x v="9"/>
    <n v="177.88"/>
    <x v="0"/>
    <n v="0.875"/>
    <x v="230"/>
    <n v="3"/>
    <x v="182"/>
  </r>
  <r>
    <x v="23"/>
    <x v="4"/>
    <x v="8"/>
    <x v="85"/>
    <x v="0"/>
    <n v="406.95"/>
    <x v="7"/>
    <n v="0"/>
    <x v="231"/>
    <n v="2"/>
    <x v="183"/>
  </r>
  <r>
    <x v="24"/>
    <x v="4"/>
    <x v="8"/>
    <x v="43"/>
    <x v="8"/>
    <n v="517.1"/>
    <x v="1"/>
    <n v="0.30769230769230771"/>
    <x v="232"/>
    <n v="1"/>
    <x v="184"/>
  </r>
  <r>
    <x v="25"/>
    <x v="4"/>
    <x v="8"/>
    <x v="31"/>
    <x v="17"/>
    <n v="348.92"/>
    <x v="0"/>
    <n v="0.3888888888888889"/>
    <x v="233"/>
    <n v="1"/>
    <x v="185"/>
  </r>
  <r>
    <x v="0"/>
    <x v="4"/>
    <x v="9"/>
    <x v="0"/>
    <x v="3"/>
    <n v="308.51"/>
    <x v="0"/>
    <n v="0.4375"/>
    <x v="234"/>
    <n v="3"/>
    <x v="76"/>
  </r>
  <r>
    <x v="1"/>
    <x v="4"/>
    <x v="9"/>
    <x v="55"/>
    <x v="12"/>
    <n v="362.58"/>
    <x v="3"/>
    <n v="0.5"/>
    <x v="235"/>
    <n v="2"/>
    <x v="186"/>
  </r>
  <r>
    <x v="2"/>
    <x v="4"/>
    <x v="9"/>
    <x v="73"/>
    <x v="8"/>
    <n v="368.06"/>
    <x v="2"/>
    <n v="0.15384615384615385"/>
    <x v="236"/>
    <n v="1"/>
    <x v="106"/>
  </r>
  <r>
    <x v="3"/>
    <x v="4"/>
    <x v="9"/>
    <x v="24"/>
    <x v="6"/>
    <n v="74.680000000000007"/>
    <x v="1"/>
    <n v="0.5714285714285714"/>
    <x v="237"/>
    <n v="3"/>
    <x v="25"/>
  </r>
  <r>
    <x v="4"/>
    <x v="4"/>
    <x v="9"/>
    <x v="0"/>
    <x v="15"/>
    <n v="460.2"/>
    <x v="1"/>
    <n v="0.26666666666666666"/>
    <x v="238"/>
    <n v="2"/>
    <x v="187"/>
  </r>
  <r>
    <x v="5"/>
    <x v="4"/>
    <x v="9"/>
    <x v="22"/>
    <x v="9"/>
    <n v="540.79999999999995"/>
    <x v="4"/>
    <n v="0.375"/>
    <x v="239"/>
    <n v="1"/>
    <x v="188"/>
  </r>
  <r>
    <x v="6"/>
    <x v="4"/>
    <x v="9"/>
    <x v="76"/>
    <x v="7"/>
    <n v="319.62"/>
    <x v="4"/>
    <n v="0.14285714285714285"/>
    <x v="240"/>
    <n v="3"/>
    <x v="189"/>
  </r>
  <r>
    <x v="7"/>
    <x v="4"/>
    <x v="9"/>
    <x v="82"/>
    <x v="6"/>
    <n v="248.37"/>
    <x v="0"/>
    <n v="1"/>
    <x v="241"/>
    <n v="2"/>
    <x v="190"/>
  </r>
  <r>
    <x v="8"/>
    <x v="4"/>
    <x v="9"/>
    <x v="77"/>
    <x v="3"/>
    <n v="393.04"/>
    <x v="0"/>
    <n v="0.4375"/>
    <x v="242"/>
    <n v="1"/>
    <x v="103"/>
  </r>
  <r>
    <x v="9"/>
    <x v="4"/>
    <x v="9"/>
    <x v="71"/>
    <x v="3"/>
    <n v="323.56"/>
    <x v="5"/>
    <n v="0.5625"/>
    <x v="243"/>
    <n v="3"/>
    <x v="191"/>
  </r>
  <r>
    <x v="10"/>
    <x v="4"/>
    <x v="9"/>
    <x v="53"/>
    <x v="6"/>
    <n v="205.3"/>
    <x v="1"/>
    <n v="0.5714285714285714"/>
    <x v="244"/>
    <n v="2"/>
    <x v="192"/>
  </r>
  <r>
    <x v="11"/>
    <x v="4"/>
    <x v="9"/>
    <x v="31"/>
    <x v="2"/>
    <n v="544.78"/>
    <x v="3"/>
    <n v="0.83333333333333337"/>
    <x v="245"/>
    <n v="3"/>
    <x v="193"/>
  </r>
  <r>
    <x v="12"/>
    <x v="4"/>
    <x v="9"/>
    <x v="16"/>
    <x v="10"/>
    <n v="557.29999999999995"/>
    <x v="4"/>
    <n v="0.17647058823529413"/>
    <x v="246"/>
    <n v="2"/>
    <x v="194"/>
  </r>
  <r>
    <x v="13"/>
    <x v="4"/>
    <x v="9"/>
    <x v="86"/>
    <x v="2"/>
    <n v="202.37"/>
    <x v="8"/>
    <n v="0.16666666666666666"/>
    <x v="247"/>
    <n v="1"/>
    <x v="58"/>
  </r>
  <r>
    <x v="14"/>
    <x v="4"/>
    <x v="9"/>
    <x v="65"/>
    <x v="6"/>
    <n v="204.14"/>
    <x v="4"/>
    <n v="0.42857142857142855"/>
    <x v="248"/>
    <n v="3"/>
    <x v="0"/>
  </r>
  <r>
    <x v="15"/>
    <x v="4"/>
    <x v="9"/>
    <x v="80"/>
    <x v="4"/>
    <n v="163.38"/>
    <x v="8"/>
    <n v="0.2"/>
    <x v="249"/>
    <n v="2"/>
    <x v="195"/>
  </r>
  <r>
    <x v="16"/>
    <x v="4"/>
    <x v="9"/>
    <x v="87"/>
    <x v="4"/>
    <n v="86.37"/>
    <x v="3"/>
    <n v="1"/>
    <x v="250"/>
    <n v="1"/>
    <x v="196"/>
  </r>
  <r>
    <x v="17"/>
    <x v="4"/>
    <x v="9"/>
    <x v="34"/>
    <x v="1"/>
    <n v="537.36"/>
    <x v="0"/>
    <n v="0.5"/>
    <x v="251"/>
    <n v="3"/>
    <x v="197"/>
  </r>
  <r>
    <x v="18"/>
    <x v="4"/>
    <x v="9"/>
    <x v="61"/>
    <x v="14"/>
    <n v="181.9"/>
    <x v="1"/>
    <n v="0.2"/>
    <x v="252"/>
    <n v="2"/>
    <x v="127"/>
  </r>
  <r>
    <x v="19"/>
    <x v="4"/>
    <x v="9"/>
    <x v="47"/>
    <x v="15"/>
    <n v="514.38"/>
    <x v="7"/>
    <n v="0"/>
    <x v="253"/>
    <n v="1"/>
    <x v="42"/>
  </r>
  <r>
    <x v="20"/>
    <x v="4"/>
    <x v="9"/>
    <x v="34"/>
    <x v="15"/>
    <n v="309.75"/>
    <x v="2"/>
    <n v="0.13333333333333333"/>
    <x v="254"/>
    <n v="3"/>
    <x v="67"/>
  </r>
  <r>
    <x v="21"/>
    <x v="4"/>
    <x v="9"/>
    <x v="49"/>
    <x v="2"/>
    <n v="515.27"/>
    <x v="2"/>
    <n v="0.33333333333333331"/>
    <x v="255"/>
    <n v="2"/>
    <x v="28"/>
  </r>
  <r>
    <x v="22"/>
    <x v="4"/>
    <x v="9"/>
    <x v="19"/>
    <x v="12"/>
    <n v="194.21"/>
    <x v="0"/>
    <n v="0.7"/>
    <x v="256"/>
    <n v="1"/>
    <x v="198"/>
  </r>
  <r>
    <x v="23"/>
    <x v="4"/>
    <x v="9"/>
    <x v="64"/>
    <x v="15"/>
    <n v="400.65"/>
    <x v="7"/>
    <n v="0"/>
    <x v="257"/>
    <n v="1"/>
    <x v="199"/>
  </r>
  <r>
    <x v="24"/>
    <x v="4"/>
    <x v="9"/>
    <x v="10"/>
    <x v="12"/>
    <n v="535.44000000000005"/>
    <x v="1"/>
    <n v="0.4"/>
    <x v="258"/>
    <n v="3"/>
    <x v="200"/>
  </r>
  <r>
    <x v="25"/>
    <x v="4"/>
    <x v="9"/>
    <x v="8"/>
    <x v="0"/>
    <n v="356.4"/>
    <x v="10"/>
    <n v="0.66666666666666663"/>
    <x v="259"/>
    <n v="2"/>
    <x v="201"/>
  </r>
  <r>
    <x v="0"/>
    <x v="4"/>
    <x v="10"/>
    <x v="11"/>
    <x v="0"/>
    <n v="352.6"/>
    <x v="9"/>
    <n v="0.5"/>
    <x v="260"/>
    <n v="1"/>
    <x v="142"/>
  </r>
  <r>
    <x v="1"/>
    <x v="4"/>
    <x v="10"/>
    <x v="54"/>
    <x v="1"/>
    <n v="351.42"/>
    <x v="1"/>
    <n v="0.2857142857142857"/>
    <x v="261"/>
    <n v="3"/>
    <x v="202"/>
  </r>
  <r>
    <x v="2"/>
    <x v="4"/>
    <x v="10"/>
    <x v="75"/>
    <x v="10"/>
    <n v="404.22"/>
    <x v="2"/>
    <n v="0.11764705882352941"/>
    <x v="262"/>
    <n v="2"/>
    <x v="203"/>
  </r>
  <r>
    <x v="3"/>
    <x v="4"/>
    <x v="10"/>
    <x v="24"/>
    <x v="2"/>
    <n v="80.02"/>
    <x v="4"/>
    <n v="0.5"/>
    <x v="263"/>
    <n v="1"/>
    <x v="204"/>
  </r>
  <r>
    <x v="4"/>
    <x v="4"/>
    <x v="10"/>
    <x v="40"/>
    <x v="3"/>
    <n v="502.41"/>
    <x v="3"/>
    <n v="0.3125"/>
    <x v="264"/>
    <n v="3"/>
    <x v="85"/>
  </r>
  <r>
    <x v="5"/>
    <x v="4"/>
    <x v="10"/>
    <x v="23"/>
    <x v="2"/>
    <n v="492.23"/>
    <x v="2"/>
    <n v="0.33333333333333331"/>
    <x v="265"/>
    <n v="2"/>
    <x v="205"/>
  </r>
  <r>
    <x v="6"/>
    <x v="4"/>
    <x v="10"/>
    <x v="0"/>
    <x v="10"/>
    <n v="284.91000000000003"/>
    <x v="4"/>
    <n v="0.17647058823529413"/>
    <x v="266"/>
    <n v="1"/>
    <x v="88"/>
  </r>
  <r>
    <x v="7"/>
    <x v="4"/>
    <x v="10"/>
    <x v="41"/>
    <x v="11"/>
    <n v="237.95"/>
    <x v="3"/>
    <n v="0.55555555555555558"/>
    <x v="267"/>
    <n v="3"/>
    <x v="172"/>
  </r>
  <r>
    <x v="8"/>
    <x v="4"/>
    <x v="10"/>
    <x v="32"/>
    <x v="7"/>
    <n v="372.34"/>
    <x v="0"/>
    <n v="0.33333333333333331"/>
    <x v="268"/>
    <n v="2"/>
    <x v="55"/>
  </r>
  <r>
    <x v="9"/>
    <x v="4"/>
    <x v="10"/>
    <x v="0"/>
    <x v="8"/>
    <n v="324.77999999999997"/>
    <x v="0"/>
    <n v="0.53846153846153844"/>
    <x v="269"/>
    <n v="1"/>
    <x v="51"/>
  </r>
  <r>
    <x v="10"/>
    <x v="4"/>
    <x v="10"/>
    <x v="88"/>
    <x v="6"/>
    <n v="190.12"/>
    <x v="1"/>
    <n v="0.5714285714285714"/>
    <x v="270"/>
    <n v="3"/>
    <x v="206"/>
  </r>
  <r>
    <x v="11"/>
    <x v="4"/>
    <x v="10"/>
    <x v="77"/>
    <x v="6"/>
    <n v="563.41999999999996"/>
    <x v="9"/>
    <n v="0.8571428571428571"/>
    <x v="271"/>
    <n v="2"/>
    <x v="207"/>
  </r>
  <r>
    <x v="12"/>
    <x v="4"/>
    <x v="10"/>
    <x v="5"/>
    <x v="7"/>
    <n v="633.37"/>
    <x v="2"/>
    <n v="9.5238095238095233E-2"/>
    <x v="272"/>
    <n v="1"/>
    <x v="8"/>
  </r>
  <r>
    <x v="13"/>
    <x v="4"/>
    <x v="10"/>
    <x v="32"/>
    <x v="2"/>
    <n v="209.84"/>
    <x v="8"/>
    <n v="0.16666666666666666"/>
    <x v="273"/>
    <n v="3"/>
    <x v="208"/>
  </r>
  <r>
    <x v="14"/>
    <x v="4"/>
    <x v="10"/>
    <x v="26"/>
    <x v="11"/>
    <n v="220.46"/>
    <x v="4"/>
    <n v="0.33333333333333331"/>
    <x v="274"/>
    <n v="2"/>
    <x v="107"/>
  </r>
  <r>
    <x v="15"/>
    <x v="4"/>
    <x v="10"/>
    <x v="60"/>
    <x v="2"/>
    <n v="153.34"/>
    <x v="4"/>
    <n v="0.5"/>
    <x v="275"/>
    <n v="1"/>
    <x v="34"/>
  </r>
  <r>
    <x v="16"/>
    <x v="4"/>
    <x v="10"/>
    <x v="4"/>
    <x v="6"/>
    <n v="79.62"/>
    <x v="0"/>
    <n v="1"/>
    <x v="276"/>
    <n v="3"/>
    <x v="209"/>
  </r>
  <r>
    <x v="17"/>
    <x v="4"/>
    <x v="10"/>
    <x v="58"/>
    <x v="10"/>
    <n v="504.54"/>
    <x v="10"/>
    <n v="0.47058823529411764"/>
    <x v="277"/>
    <n v="2"/>
    <x v="86"/>
  </r>
  <r>
    <x v="18"/>
    <x v="4"/>
    <x v="10"/>
    <x v="18"/>
    <x v="3"/>
    <n v="161.69"/>
    <x v="3"/>
    <n v="0.3125"/>
    <x v="278"/>
    <n v="1"/>
    <x v="126"/>
  </r>
  <r>
    <x v="19"/>
    <x v="4"/>
    <x v="10"/>
    <x v="55"/>
    <x v="0"/>
    <n v="474.28"/>
    <x v="8"/>
    <n v="8.3333333333333329E-2"/>
    <x v="279"/>
    <n v="3"/>
    <x v="42"/>
  </r>
  <r>
    <x v="20"/>
    <x v="4"/>
    <x v="10"/>
    <x v="9"/>
    <x v="15"/>
    <n v="268.94"/>
    <x v="8"/>
    <n v="6.6666666666666666E-2"/>
    <x v="280"/>
    <n v="2"/>
    <x v="210"/>
  </r>
  <r>
    <x v="21"/>
    <x v="4"/>
    <x v="10"/>
    <x v="83"/>
    <x v="4"/>
    <n v="601.28"/>
    <x v="2"/>
    <n v="0.4"/>
    <x v="281"/>
    <n v="1"/>
    <x v="211"/>
  </r>
  <r>
    <x v="22"/>
    <x v="4"/>
    <x v="10"/>
    <x v="16"/>
    <x v="9"/>
    <n v="182.48"/>
    <x v="10"/>
    <n v="1"/>
    <x v="282"/>
    <n v="1"/>
    <x v="212"/>
  </r>
  <r>
    <x v="23"/>
    <x v="4"/>
    <x v="10"/>
    <x v="68"/>
    <x v="1"/>
    <n v="368.16"/>
    <x v="7"/>
    <n v="0"/>
    <x v="283"/>
    <n v="3"/>
    <x v="213"/>
  </r>
  <r>
    <x v="24"/>
    <x v="4"/>
    <x v="10"/>
    <x v="50"/>
    <x v="0"/>
    <n v="565.51"/>
    <x v="1"/>
    <n v="0.33333333333333331"/>
    <x v="284"/>
    <n v="2"/>
    <x v="214"/>
  </r>
  <r>
    <x v="25"/>
    <x v="4"/>
    <x v="10"/>
    <x v="52"/>
    <x v="8"/>
    <n v="370.44"/>
    <x v="5"/>
    <n v="0.69230769230769229"/>
    <x v="285"/>
    <n v="1"/>
    <x v="215"/>
  </r>
  <r>
    <x v="0"/>
    <x v="4"/>
    <x v="11"/>
    <x v="45"/>
    <x v="8"/>
    <n v="356.61"/>
    <x v="0"/>
    <n v="0.53846153846153844"/>
    <x v="286"/>
    <n v="3"/>
    <x v="73"/>
  </r>
  <r>
    <x v="1"/>
    <x v="4"/>
    <x v="11"/>
    <x v="79"/>
    <x v="8"/>
    <n v="369.46"/>
    <x v="1"/>
    <n v="0.30769230769230771"/>
    <x v="287"/>
    <n v="2"/>
    <x v="35"/>
  </r>
  <r>
    <x v="2"/>
    <x v="4"/>
    <x v="11"/>
    <x v="82"/>
    <x v="1"/>
    <n v="419.93"/>
    <x v="2"/>
    <n v="0.14285714285714285"/>
    <x v="288"/>
    <n v="1"/>
    <x v="216"/>
  </r>
  <r>
    <x v="3"/>
    <x v="4"/>
    <x v="11"/>
    <x v="30"/>
    <x v="4"/>
    <n v="71.41"/>
    <x v="4"/>
    <n v="0.6"/>
    <x v="289"/>
    <n v="3"/>
    <x v="217"/>
  </r>
  <r>
    <x v="4"/>
    <x v="4"/>
    <x v="11"/>
    <x v="89"/>
    <x v="1"/>
    <n v="503.93"/>
    <x v="3"/>
    <n v="0.35714285714285715"/>
    <x v="290"/>
    <n v="2"/>
    <x v="218"/>
  </r>
  <r>
    <x v="5"/>
    <x v="4"/>
    <x v="11"/>
    <x v="76"/>
    <x v="2"/>
    <n v="488.97"/>
    <x v="4"/>
    <n v="0.5"/>
    <x v="291"/>
    <n v="1"/>
    <x v="219"/>
  </r>
  <r>
    <x v="6"/>
    <x v="4"/>
    <x v="11"/>
    <x v="46"/>
    <x v="5"/>
    <n v="301.2"/>
    <x v="2"/>
    <n v="0.10526315789473684"/>
    <x v="292"/>
    <n v="3"/>
    <x v="220"/>
  </r>
  <r>
    <x v="7"/>
    <x v="4"/>
    <x v="11"/>
    <x v="41"/>
    <x v="2"/>
    <n v="219.19"/>
    <x v="1"/>
    <n v="0.66666666666666663"/>
    <x v="293"/>
    <n v="2"/>
    <x v="221"/>
  </r>
  <r>
    <x v="8"/>
    <x v="4"/>
    <x v="11"/>
    <x v="50"/>
    <x v="5"/>
    <n v="352.06"/>
    <x v="5"/>
    <n v="0.47368421052631576"/>
    <x v="294"/>
    <n v="3"/>
    <x v="222"/>
  </r>
  <r>
    <x v="9"/>
    <x v="4"/>
    <x v="11"/>
    <x v="33"/>
    <x v="3"/>
    <n v="337.7"/>
    <x v="5"/>
    <n v="0.5625"/>
    <x v="295"/>
    <n v="2"/>
    <x v="223"/>
  </r>
  <r>
    <x v="10"/>
    <x v="4"/>
    <x v="11"/>
    <x v="9"/>
    <x v="2"/>
    <n v="212.39"/>
    <x v="4"/>
    <n v="0.5"/>
    <x v="296"/>
    <n v="1"/>
    <x v="63"/>
  </r>
  <r>
    <x v="11"/>
    <x v="4"/>
    <x v="11"/>
    <x v="72"/>
    <x v="6"/>
    <n v="486.93"/>
    <x v="0"/>
    <n v="1"/>
    <x v="297"/>
    <n v="3"/>
    <x v="224"/>
  </r>
  <r>
    <x v="12"/>
    <x v="4"/>
    <x v="11"/>
    <x v="40"/>
    <x v="3"/>
    <n v="539.26"/>
    <x v="4"/>
    <n v="0.1875"/>
    <x v="298"/>
    <n v="2"/>
    <x v="225"/>
  </r>
  <r>
    <x v="13"/>
    <x v="4"/>
    <x v="11"/>
    <x v="14"/>
    <x v="2"/>
    <n v="191.66"/>
    <x v="2"/>
    <n v="0.33333333333333331"/>
    <x v="299"/>
    <n v="1"/>
    <x v="105"/>
  </r>
  <r>
    <x v="14"/>
    <x v="4"/>
    <x v="11"/>
    <x v="36"/>
    <x v="6"/>
    <n v="190.08"/>
    <x v="2"/>
    <n v="0.2857142857142857"/>
    <x v="300"/>
    <n v="3"/>
    <x v="49"/>
  </r>
  <r>
    <x v="15"/>
    <x v="4"/>
    <x v="11"/>
    <x v="42"/>
    <x v="4"/>
    <n v="168.89"/>
    <x v="4"/>
    <n v="0.6"/>
    <x v="301"/>
    <n v="2"/>
    <x v="45"/>
  </r>
  <r>
    <x v="16"/>
    <x v="4"/>
    <x v="11"/>
    <x v="0"/>
    <x v="2"/>
    <n v="87.83"/>
    <x v="9"/>
    <n v="1"/>
    <x v="302"/>
    <n v="1"/>
    <x v="226"/>
  </r>
  <r>
    <x v="17"/>
    <x v="4"/>
    <x v="11"/>
    <x v="58"/>
    <x v="8"/>
    <n v="543.15"/>
    <x v="9"/>
    <n v="0.46153846153846156"/>
    <x v="303"/>
    <n v="3"/>
    <x v="223"/>
  </r>
  <r>
    <x v="18"/>
    <x v="4"/>
    <x v="11"/>
    <x v="90"/>
    <x v="15"/>
    <n v="181.12"/>
    <x v="3"/>
    <n v="0.33333333333333331"/>
    <x v="304"/>
    <n v="2"/>
    <x v="90"/>
  </r>
  <r>
    <x v="19"/>
    <x v="4"/>
    <x v="11"/>
    <x v="0"/>
    <x v="1"/>
    <n v="508.85"/>
    <x v="8"/>
    <n v="7.1428571428571425E-2"/>
    <x v="305"/>
    <n v="1"/>
    <x v="18"/>
  </r>
  <r>
    <x v="20"/>
    <x v="4"/>
    <x v="11"/>
    <x v="34"/>
    <x v="10"/>
    <n v="297.83999999999997"/>
    <x v="8"/>
    <n v="5.8823529411764705E-2"/>
    <x v="306"/>
    <n v="1"/>
    <x v="227"/>
  </r>
  <r>
    <x v="21"/>
    <x v="4"/>
    <x v="11"/>
    <x v="91"/>
    <x v="2"/>
    <n v="537.26"/>
    <x v="8"/>
    <n v="0.16666666666666666"/>
    <x v="307"/>
    <n v="3"/>
    <x v="3"/>
  </r>
  <r>
    <x v="22"/>
    <x v="4"/>
    <x v="11"/>
    <x v="35"/>
    <x v="11"/>
    <n v="188.49"/>
    <x v="0"/>
    <n v="0.77777777777777779"/>
    <x v="308"/>
    <n v="2"/>
    <x v="228"/>
  </r>
  <r>
    <x v="23"/>
    <x v="4"/>
    <x v="11"/>
    <x v="46"/>
    <x v="1"/>
    <n v="370.36"/>
    <x v="7"/>
    <n v="0"/>
    <x v="309"/>
    <n v="1"/>
    <x v="70"/>
  </r>
  <r>
    <x v="24"/>
    <x v="4"/>
    <x v="11"/>
    <x v="77"/>
    <x v="12"/>
    <n v="500.83"/>
    <x v="1"/>
    <n v="0.4"/>
    <x v="310"/>
    <n v="3"/>
    <x v="229"/>
  </r>
  <r>
    <x v="25"/>
    <x v="4"/>
    <x v="11"/>
    <x v="51"/>
    <x v="15"/>
    <n v="319.08999999999997"/>
    <x v="0"/>
    <n v="0.46666666666666667"/>
    <x v="311"/>
    <n v="2"/>
    <x v="2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E05BBD-C482-4A32-9B4C-063525B53317}"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10:I37" firstHeaderRow="0" firstDataRow="1" firstDataCol="1"/>
  <pivotFields count="13">
    <pivotField axis="axisRow" compact="0" outline="0" subtotalTop="0"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compact="0" outline="0" subtotalTop="0" showAll="0">
      <items count="6">
        <item x="4"/>
        <item x="3"/>
        <item x="0"/>
        <item x="1"/>
        <item x="2"/>
        <item t="default"/>
      </items>
    </pivotField>
    <pivotField compact="0" numFmtId="14" outline="0" subtotalTop="0" showAll="0">
      <items count="13">
        <item x="0"/>
        <item x="1"/>
        <item x="2"/>
        <item x="3"/>
        <item x="4"/>
        <item x="5"/>
        <item x="6"/>
        <item x="7"/>
        <item x="8"/>
        <item x="9"/>
        <item x="10"/>
        <item x="11"/>
        <item t="default"/>
      </items>
    </pivotField>
    <pivotField dataField="1" compact="0" outline="0" subtotalTop="0"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dataField="1" compact="0" outline="0" subtotalTop="0" showAll="0">
      <items count="20">
        <item x="13"/>
        <item x="4"/>
        <item x="2"/>
        <item x="6"/>
        <item x="9"/>
        <item x="11"/>
        <item x="12"/>
        <item x="16"/>
        <item x="0"/>
        <item x="8"/>
        <item x="1"/>
        <item x="15"/>
        <item x="3"/>
        <item x="10"/>
        <item x="17"/>
        <item x="5"/>
        <item x="14"/>
        <item x="7"/>
        <item x="18"/>
        <item t="default"/>
      </items>
    </pivotField>
    <pivotField compact="0" outline="0" subtotalTop="0" showAll="0"/>
    <pivotField dataField="1" compact="0" outline="0" subtotalTop="0" showAll="0">
      <items count="12">
        <item x="7"/>
        <item x="8"/>
        <item x="2"/>
        <item x="4"/>
        <item x="1"/>
        <item x="3"/>
        <item x="9"/>
        <item x="0"/>
        <item x="10"/>
        <item x="5"/>
        <item x="6"/>
        <item t="default"/>
      </items>
    </pivotField>
    <pivotField compact="0" numFmtId="9" outline="0" subtotalTop="0" showAll="0"/>
    <pivotField dataField="1" compact="0" outline="0" subtotalTop="0" showAll="0">
      <items count="313">
        <item x="50"/>
        <item x="206"/>
        <item x="154"/>
        <item x="76"/>
        <item x="102"/>
        <item x="284"/>
        <item x="310"/>
        <item x="128"/>
        <item x="258"/>
        <item x="24"/>
        <item x="232"/>
        <item x="180"/>
        <item x="168"/>
        <item x="12"/>
        <item x="220"/>
        <item x="194"/>
        <item x="64"/>
        <item x="272"/>
        <item x="116"/>
        <item x="38"/>
        <item x="142"/>
        <item x="246"/>
        <item x="148"/>
        <item x="90"/>
        <item x="298"/>
        <item x="122"/>
        <item x="278"/>
        <item x="252"/>
        <item x="44"/>
        <item x="70"/>
        <item x="226"/>
        <item x="18"/>
        <item x="96"/>
        <item x="200"/>
        <item x="304"/>
        <item x="126"/>
        <item x="174"/>
        <item x="100"/>
        <item x="204"/>
        <item x="178"/>
        <item x="230"/>
        <item x="256"/>
        <item x="152"/>
        <item x="22"/>
        <item x="74"/>
        <item x="308"/>
        <item x="48"/>
        <item x="282"/>
        <item x="118"/>
        <item x="40"/>
        <item x="222"/>
        <item x="248"/>
        <item x="92"/>
        <item x="14"/>
        <item x="300"/>
        <item x="66"/>
        <item x="196"/>
        <item x="170"/>
        <item x="144"/>
        <item x="274"/>
        <item x="10"/>
        <item x="296"/>
        <item x="36"/>
        <item x="244"/>
        <item x="192"/>
        <item x="218"/>
        <item x="270"/>
        <item x="114"/>
        <item x="140"/>
        <item x="62"/>
        <item x="166"/>
        <item x="88"/>
        <item x="113"/>
        <item x="217"/>
        <item x="108"/>
        <item x="295"/>
        <item x="243"/>
        <item x="186"/>
        <item x="56"/>
        <item x="9"/>
        <item x="35"/>
        <item x="238"/>
        <item x="134"/>
        <item x="212"/>
        <item x="269"/>
        <item x="160"/>
        <item x="82"/>
        <item x="4"/>
        <item x="191"/>
        <item x="139"/>
        <item x="30"/>
        <item x="86"/>
        <item x="61"/>
        <item x="165"/>
        <item x="87"/>
        <item x="264"/>
        <item x="279"/>
        <item x="164"/>
        <item x="294"/>
        <item x="290"/>
        <item x="19"/>
        <item x="97"/>
        <item x="8"/>
        <item x="249"/>
        <item x="45"/>
        <item x="301"/>
        <item x="190"/>
        <item x="93"/>
        <item x="60"/>
        <item x="67"/>
        <item x="268"/>
        <item x="41"/>
        <item x="305"/>
        <item x="216"/>
        <item x="145"/>
        <item x="15"/>
        <item x="138"/>
        <item x="175"/>
        <item x="253"/>
        <item x="275"/>
        <item x="197"/>
        <item x="149"/>
        <item x="201"/>
        <item x="227"/>
        <item x="119"/>
        <item x="242"/>
        <item x="123"/>
        <item x="112"/>
        <item x="34"/>
        <item x="71"/>
        <item x="223"/>
        <item x="171"/>
        <item x="185"/>
        <item x="81"/>
        <item x="133"/>
        <item x="20"/>
        <item x="228"/>
        <item x="150"/>
        <item x="55"/>
        <item x="280"/>
        <item x="263"/>
        <item x="176"/>
        <item x="289"/>
        <item x="237"/>
        <item x="3"/>
        <item x="306"/>
        <item x="202"/>
        <item x="98"/>
        <item x="159"/>
        <item x="124"/>
        <item x="29"/>
        <item x="254"/>
        <item x="211"/>
        <item x="107"/>
        <item x="72"/>
        <item x="46"/>
        <item x="214"/>
        <item x="162"/>
        <item x="84"/>
        <item x="136"/>
        <item x="6"/>
        <item x="266"/>
        <item x="240"/>
        <item x="188"/>
        <item x="309"/>
        <item x="292"/>
        <item x="58"/>
        <item x="110"/>
        <item x="32"/>
        <item x="205"/>
        <item x="23"/>
        <item x="127"/>
        <item x="257"/>
        <item x="179"/>
        <item x="231"/>
        <item x="153"/>
        <item x="75"/>
        <item x="49"/>
        <item x="283"/>
        <item x="73"/>
        <item x="101"/>
        <item x="21"/>
        <item x="132"/>
        <item x="255"/>
        <item x="161"/>
        <item x="106"/>
        <item x="141"/>
        <item x="54"/>
        <item x="277"/>
        <item x="95"/>
        <item x="28"/>
        <item x="203"/>
        <item x="184"/>
        <item x="245"/>
        <item x="221"/>
        <item x="11"/>
        <item x="16"/>
        <item x="89"/>
        <item x="224"/>
        <item x="31"/>
        <item x="281"/>
        <item x="125"/>
        <item x="99"/>
        <item x="47"/>
        <item x="158"/>
        <item x="273"/>
        <item x="288"/>
        <item x="271"/>
        <item x="135"/>
        <item x="5"/>
        <item x="105"/>
        <item x="173"/>
        <item x="39"/>
        <item x="229"/>
        <item x="43"/>
        <item x="27"/>
        <item x="187"/>
        <item x="63"/>
        <item x="109"/>
        <item x="236"/>
        <item x="83"/>
        <item x="80"/>
        <item x="297"/>
        <item x="172"/>
        <item x="209"/>
        <item x="307"/>
        <item x="198"/>
        <item x="262"/>
        <item x="53"/>
        <item x="235"/>
        <item x="177"/>
        <item x="79"/>
        <item x="157"/>
        <item x="2"/>
        <item x="104"/>
        <item x="57"/>
        <item x="78"/>
        <item x="151"/>
        <item x="302"/>
        <item x="299"/>
        <item x="143"/>
        <item x="291"/>
        <item x="210"/>
        <item x="169"/>
        <item x="251"/>
        <item x="265"/>
        <item x="247"/>
        <item x="199"/>
        <item x="303"/>
        <item x="42"/>
        <item x="117"/>
        <item x="183"/>
        <item x="121"/>
        <item x="293"/>
        <item x="25"/>
        <item x="181"/>
        <item x="68"/>
        <item x="250"/>
        <item x="137"/>
        <item x="115"/>
        <item x="193"/>
        <item x="1"/>
        <item x="52"/>
        <item x="276"/>
        <item x="225"/>
        <item x="146"/>
        <item x="213"/>
        <item x="261"/>
        <item x="239"/>
        <item x="215"/>
        <item x="167"/>
        <item x="17"/>
        <item x="241"/>
        <item x="37"/>
        <item x="7"/>
        <item x="130"/>
        <item x="195"/>
        <item x="120"/>
        <item x="267"/>
        <item x="155"/>
        <item x="91"/>
        <item x="147"/>
        <item x="287"/>
        <item x="131"/>
        <item x="219"/>
        <item x="208"/>
        <item x="69"/>
        <item x="182"/>
        <item x="111"/>
        <item x="129"/>
        <item x="13"/>
        <item x="94"/>
        <item x="286"/>
        <item x="259"/>
        <item x="189"/>
        <item x="65"/>
        <item x="85"/>
        <item x="207"/>
        <item x="51"/>
        <item x="26"/>
        <item x="163"/>
        <item x="234"/>
        <item x="0"/>
        <item x="103"/>
        <item x="33"/>
        <item x="233"/>
        <item x="260"/>
        <item x="156"/>
        <item x="285"/>
        <item x="311"/>
        <item x="77"/>
        <item x="59"/>
        <item t="default"/>
      </items>
    </pivotField>
    <pivotField compact="0" outline="0" subtotalTop="0" showAll="0"/>
    <pivotField compact="0" numFmtId="9" outline="0" subtotalTop="0" showAll="0">
      <items count="232">
        <item x="18"/>
        <item x="42"/>
        <item x="66"/>
        <item x="219"/>
        <item x="188"/>
        <item x="205"/>
        <item x="30"/>
        <item x="136"/>
        <item x="78"/>
        <item x="53"/>
        <item x="170"/>
        <item x="100"/>
        <item x="156"/>
        <item x="5"/>
        <item x="149"/>
        <item x="183"/>
        <item x="46"/>
        <item x="94"/>
        <item x="22"/>
        <item x="199"/>
        <item x="166"/>
        <item x="213"/>
        <item x="70"/>
        <item x="130"/>
        <item x="96"/>
        <item x="217"/>
        <item x="114"/>
        <item x="152"/>
        <item x="25"/>
        <item x="107"/>
        <item x="61"/>
        <item x="13"/>
        <item x="134"/>
        <item x="37"/>
        <item x="20"/>
        <item x="164"/>
        <item x="49"/>
        <item x="142"/>
        <item x="168"/>
        <item x="204"/>
        <item x="76"/>
        <item x="0"/>
        <item x="73"/>
        <item x="211"/>
        <item x="154"/>
        <item x="92"/>
        <item x="98"/>
        <item x="28"/>
        <item x="89"/>
        <item x="51"/>
        <item x="3"/>
        <item x="191"/>
        <item x="44"/>
        <item x="117"/>
        <item x="86"/>
        <item x="68"/>
        <item x="104"/>
        <item x="8"/>
        <item x="84"/>
        <item x="36"/>
        <item x="64"/>
        <item x="123"/>
        <item x="197"/>
        <item x="176"/>
        <item x="194"/>
        <item x="82"/>
        <item x="110"/>
        <item x="145"/>
        <item x="56"/>
        <item x="223"/>
        <item x="16"/>
        <item x="40"/>
        <item x="59"/>
        <item x="99"/>
        <item x="160"/>
        <item x="52"/>
        <item x="29"/>
        <item x="218"/>
        <item x="11"/>
        <item x="35"/>
        <item x="10"/>
        <item x="140"/>
        <item x="187"/>
        <item x="225"/>
        <item x="77"/>
        <item x="74"/>
        <item x="105"/>
        <item x="85"/>
        <item x="141"/>
        <item x="186"/>
        <item x="221"/>
        <item x="155"/>
        <item x="124"/>
        <item x="32"/>
        <item x="133"/>
        <item x="224"/>
        <item x="60"/>
        <item x="193"/>
        <item x="177"/>
        <item x="26"/>
        <item x="97"/>
        <item x="4"/>
        <item x="12"/>
        <item x="106"/>
        <item x="102"/>
        <item x="208"/>
        <item x="135"/>
        <item x="118"/>
        <item x="169"/>
        <item x="50"/>
        <item x="190"/>
        <item x="159"/>
        <item x="116"/>
        <item x="202"/>
        <item x="58"/>
        <item x="175"/>
        <item x="80"/>
        <item x="1"/>
        <item x="120"/>
        <item x="207"/>
        <item x="2"/>
        <item x="75"/>
        <item x="172"/>
        <item x="203"/>
        <item x="153"/>
        <item x="27"/>
        <item x="216"/>
        <item x="91"/>
        <item x="227"/>
        <item x="210"/>
        <item x="67"/>
        <item x="128"/>
        <item x="19"/>
        <item x="43"/>
        <item x="173"/>
        <item x="7"/>
        <item x="181"/>
        <item x="55"/>
        <item x="222"/>
        <item x="33"/>
        <item x="103"/>
        <item x="147"/>
        <item x="112"/>
        <item x="138"/>
        <item x="158"/>
        <item x="229"/>
        <item x="121"/>
        <item x="81"/>
        <item x="214"/>
        <item x="200"/>
        <item x="150"/>
        <item x="23"/>
        <item x="71"/>
        <item x="184"/>
        <item x="47"/>
        <item x="131"/>
        <item x="115"/>
        <item x="122"/>
        <item x="167"/>
        <item x="206"/>
        <item x="108"/>
        <item x="192"/>
        <item x="174"/>
        <item x="178"/>
        <item x="132"/>
        <item x="139"/>
        <item x="95"/>
        <item x="57"/>
        <item x="38"/>
        <item x="62"/>
        <item x="161"/>
        <item x="87"/>
        <item x="195"/>
        <item x="9"/>
        <item x="34"/>
        <item x="93"/>
        <item x="230"/>
        <item x="125"/>
        <item x="129"/>
        <item x="45"/>
        <item x="165"/>
        <item x="143"/>
        <item x="24"/>
        <item x="21"/>
        <item x="196"/>
        <item x="83"/>
        <item x="14"/>
        <item x="201"/>
        <item x="15"/>
        <item x="215"/>
        <item x="72"/>
        <item x="228"/>
        <item x="151"/>
        <item x="63"/>
        <item x="144"/>
        <item x="69"/>
        <item x="180"/>
        <item x="212"/>
        <item x="185"/>
        <item x="48"/>
        <item x="119"/>
        <item x="88"/>
        <item x="109"/>
        <item x="162"/>
        <item x="113"/>
        <item x="90"/>
        <item x="198"/>
        <item x="148"/>
        <item x="39"/>
        <item x="182"/>
        <item x="6"/>
        <item x="126"/>
        <item x="137"/>
        <item x="171"/>
        <item x="209"/>
        <item x="111"/>
        <item x="179"/>
        <item x="146"/>
        <item x="226"/>
        <item x="127"/>
        <item x="157"/>
        <item x="41"/>
        <item x="65"/>
        <item x="163"/>
        <item x="101"/>
        <item x="220"/>
        <item x="189"/>
        <item x="17"/>
        <item x="79"/>
        <item x="54"/>
        <item x="31"/>
        <item t="default"/>
      </items>
    </pivotField>
    <pivotField compact="0" outline="0"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ubtotalTop="0"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4">
    <i>
      <x/>
    </i>
    <i i="1">
      <x v="1"/>
    </i>
    <i i="2">
      <x v="2"/>
    </i>
    <i i="3">
      <x v="3"/>
    </i>
  </colItems>
  <dataFields count="4">
    <dataField name=" Total Calls" fld="3" baseField="0" baseItem="0"/>
    <dataField name=" Calls Reached" fld="4" baseField="0" baseItem="0"/>
    <dataField name=" Deals Closed" fld="6" baseField="0" baseItem="0"/>
    <dataField name=" Deal Value ($)" fld="8" baseField="0" baseItem="0"/>
  </dataFields>
  <formats count="12">
    <format dxfId="211">
      <pivotArea outline="0" collapsedLevelsAreSubtotals="1" fieldPosition="0"/>
    </format>
    <format dxfId="210">
      <pivotArea field="0" type="button" dataOnly="0" labelOnly="1" outline="0" axis="axisRow" fieldPosition="0"/>
    </format>
    <format dxfId="209">
      <pivotArea field="0" type="button" dataOnly="0" labelOnly="1" outline="0" axis="axisRow" fieldPosition="0"/>
    </format>
    <format dxfId="208">
      <pivotArea dataOnly="0" labelOnly="1" outline="0" fieldPosition="0">
        <references count="1">
          <reference field="4294967294" count="4">
            <x v="0"/>
            <x v="1"/>
            <x v="2"/>
            <x v="3"/>
          </reference>
        </references>
      </pivotArea>
    </format>
    <format dxfId="207">
      <pivotArea field="0" type="button" dataOnly="0" labelOnly="1" outline="0" axis="axisRow" fieldPosition="0"/>
    </format>
    <format dxfId="206">
      <pivotArea dataOnly="0" labelOnly="1" outline="0" fieldPosition="0">
        <references count="1">
          <reference field="4294967294" count="4">
            <x v="0"/>
            <x v="1"/>
            <x v="2"/>
            <x v="3"/>
          </reference>
        </references>
      </pivotArea>
    </format>
    <format dxfId="205">
      <pivotArea field="0" type="button" dataOnly="0" labelOnly="1" outline="0" axis="axisRow" fieldPosition="0"/>
    </format>
    <format dxfId="204">
      <pivotArea dataOnly="0" labelOnly="1" outline="0" fieldPosition="0">
        <references count="1">
          <reference field="4294967294" count="4">
            <x v="0"/>
            <x v="1"/>
            <x v="2"/>
            <x v="3"/>
          </reference>
        </references>
      </pivotArea>
    </format>
    <format dxfId="203">
      <pivotArea dataOnly="0" grandRow="1" outline="0" axis="axisRow" fieldPosition="0"/>
    </format>
    <format dxfId="202">
      <pivotArea dataOnly="0" grandRow="1" outline="0" axis="axisRow" fieldPosition="0"/>
    </format>
    <format dxfId="201">
      <pivotArea field="0" type="button" dataOnly="0" labelOnly="1" outline="0" axis="axisRow" fieldPosition="0"/>
    </format>
    <format dxfId="200">
      <pivotArea dataOnly="0" labelOnly="1" outline="0" fieldPosition="0">
        <references count="1">
          <reference field="4294967294" count="4">
            <x v="0"/>
            <x v="1"/>
            <x v="2"/>
            <x v="3"/>
          </reference>
        </references>
      </pivotArea>
    </format>
  </formats>
  <conditionalFormats count="4">
    <conditionalFormat priority="4">
      <pivotAreas count="1">
        <pivotArea type="data" outline="0" collapsedLevelsAreSubtotals="1" fieldPosition="0">
          <references count="2">
            <reference field="4294967294" count="1" selected="0">
              <x v="0"/>
            </reference>
            <reference field="0" count="26" selected="0">
              <x v="0"/>
              <x v="1"/>
              <x v="2"/>
              <x v="3"/>
              <x v="4"/>
              <x v="5"/>
              <x v="6"/>
              <x v="7"/>
              <x v="8"/>
              <x v="9"/>
              <x v="10"/>
              <x v="11"/>
              <x v="12"/>
              <x v="13"/>
              <x v="14"/>
              <x v="15"/>
              <x v="16"/>
              <x v="17"/>
              <x v="18"/>
              <x v="19"/>
              <x v="20"/>
              <x v="21"/>
              <x v="22"/>
              <x v="23"/>
              <x v="24"/>
              <x v="25"/>
            </reference>
          </references>
        </pivotArea>
      </pivotAreas>
    </conditionalFormat>
    <conditionalFormat priority="3">
      <pivotAreas count="1">
        <pivotArea type="data" outline="0" collapsedLevelsAreSubtotals="1" fieldPosition="0">
          <references count="2">
            <reference field="4294967294" count="1" selected="0">
              <x v="1"/>
            </reference>
            <reference field="0" count="26" selected="0">
              <x v="0"/>
              <x v="1"/>
              <x v="2"/>
              <x v="3"/>
              <x v="4"/>
              <x v="5"/>
              <x v="6"/>
              <x v="7"/>
              <x v="8"/>
              <x v="9"/>
              <x v="10"/>
              <x v="11"/>
              <x v="12"/>
              <x v="13"/>
              <x v="14"/>
              <x v="15"/>
              <x v="16"/>
              <x v="17"/>
              <x v="18"/>
              <x v="19"/>
              <x v="20"/>
              <x v="21"/>
              <x v="22"/>
              <x v="23"/>
              <x v="24"/>
              <x v="25"/>
            </reference>
          </references>
        </pivotArea>
      </pivotAreas>
    </conditionalFormat>
    <conditionalFormat priority="2">
      <pivotAreas count="1">
        <pivotArea type="data" outline="0" collapsedLevelsAreSubtotals="1" fieldPosition="0">
          <references count="2">
            <reference field="4294967294" count="1" selected="0">
              <x v="2"/>
            </reference>
            <reference field="0" count="26" selected="0">
              <x v="0"/>
              <x v="1"/>
              <x v="2"/>
              <x v="3"/>
              <x v="4"/>
              <x v="5"/>
              <x v="6"/>
              <x v="7"/>
              <x v="8"/>
              <x v="9"/>
              <x v="10"/>
              <x v="11"/>
              <x v="12"/>
              <x v="13"/>
              <x v="14"/>
              <x v="15"/>
              <x v="16"/>
              <x v="17"/>
              <x v="18"/>
              <x v="19"/>
              <x v="20"/>
              <x v="21"/>
              <x v="22"/>
              <x v="23"/>
              <x v="24"/>
              <x v="25"/>
            </reference>
          </references>
        </pivotArea>
      </pivotAreas>
    </conditionalFormat>
    <conditionalFormat priority="1">
      <pivotAreas count="1">
        <pivotArea type="data" outline="0" collapsedLevelsAreSubtotals="1" fieldPosition="0">
          <references count="2">
            <reference field="4294967294" count="1" selected="0">
              <x v="3"/>
            </reference>
            <reference field="0" count="26" selected="0">
              <x v="0"/>
              <x v="1"/>
              <x v="2"/>
              <x v="3"/>
              <x v="4"/>
              <x v="5"/>
              <x v="6"/>
              <x v="7"/>
              <x v="8"/>
              <x v="9"/>
              <x v="10"/>
              <x v="11"/>
              <x v="12"/>
              <x v="13"/>
              <x v="14"/>
              <x v="15"/>
              <x v="16"/>
              <x v="17"/>
              <x v="18"/>
              <x v="19"/>
              <x v="20"/>
              <x v="21"/>
              <x v="22"/>
              <x v="23"/>
              <x v="24"/>
              <x v="2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F7F27F-8371-4BD5-9ED7-BF1B75E031A7}" name="PivotTable3"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13:B25" firstHeaderRow="1" firstDataRow="1" firstDataCol="1"/>
  <pivotFields count="13">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showAll="0">
      <items count="6">
        <item x="4"/>
        <item x="3"/>
        <item x="0"/>
        <item x="1"/>
        <item x="2"/>
        <item t="default"/>
      </items>
    </pivotField>
    <pivotField numFmtId="14" showAll="0">
      <items count="13">
        <item x="0"/>
        <item x="1"/>
        <item x="2"/>
        <item x="3"/>
        <item x="4"/>
        <item x="5"/>
        <item x="6"/>
        <item x="7"/>
        <item x="8"/>
        <item x="9"/>
        <item x="10"/>
        <item x="11"/>
        <item t="default"/>
      </items>
    </pivotField>
    <pivotField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showAll="0">
      <items count="20">
        <item x="13"/>
        <item x="4"/>
        <item x="2"/>
        <item x="6"/>
        <item x="9"/>
        <item x="11"/>
        <item x="12"/>
        <item x="16"/>
        <item x="0"/>
        <item x="8"/>
        <item x="1"/>
        <item x="15"/>
        <item x="3"/>
        <item x="10"/>
        <item x="17"/>
        <item x="5"/>
        <item x="14"/>
        <item x="7"/>
        <item x="18"/>
        <item t="default"/>
      </items>
    </pivotField>
    <pivotField showAll="0"/>
    <pivotField showAll="0">
      <items count="12">
        <item x="7"/>
        <item x="8"/>
        <item x="2"/>
        <item x="4"/>
        <item x="1"/>
        <item x="3"/>
        <item x="9"/>
        <item x="0"/>
        <item x="10"/>
        <item x="5"/>
        <item x="6"/>
        <item t="default"/>
      </items>
    </pivotField>
    <pivotField numFmtId="9" showAll="0"/>
    <pivotField dataField="1" showAll="0">
      <items count="313">
        <item x="50"/>
        <item x="206"/>
        <item x="154"/>
        <item x="76"/>
        <item x="102"/>
        <item x="284"/>
        <item x="310"/>
        <item x="128"/>
        <item x="258"/>
        <item x="24"/>
        <item x="232"/>
        <item x="180"/>
        <item x="168"/>
        <item x="12"/>
        <item x="220"/>
        <item x="194"/>
        <item x="64"/>
        <item x="272"/>
        <item x="116"/>
        <item x="38"/>
        <item x="142"/>
        <item x="246"/>
        <item x="148"/>
        <item x="90"/>
        <item x="298"/>
        <item x="122"/>
        <item x="278"/>
        <item x="252"/>
        <item x="44"/>
        <item x="70"/>
        <item x="226"/>
        <item x="18"/>
        <item x="96"/>
        <item x="200"/>
        <item x="304"/>
        <item x="126"/>
        <item x="174"/>
        <item x="100"/>
        <item x="204"/>
        <item x="178"/>
        <item x="230"/>
        <item x="256"/>
        <item x="152"/>
        <item x="22"/>
        <item x="74"/>
        <item x="308"/>
        <item x="48"/>
        <item x="282"/>
        <item x="118"/>
        <item x="40"/>
        <item x="222"/>
        <item x="248"/>
        <item x="92"/>
        <item x="14"/>
        <item x="300"/>
        <item x="66"/>
        <item x="196"/>
        <item x="170"/>
        <item x="144"/>
        <item x="274"/>
        <item x="10"/>
        <item x="296"/>
        <item x="36"/>
        <item x="244"/>
        <item x="192"/>
        <item x="218"/>
        <item x="270"/>
        <item x="114"/>
        <item x="140"/>
        <item x="62"/>
        <item x="166"/>
        <item x="88"/>
        <item x="113"/>
        <item x="217"/>
        <item x="108"/>
        <item x="295"/>
        <item x="243"/>
        <item x="186"/>
        <item x="56"/>
        <item x="9"/>
        <item x="35"/>
        <item x="238"/>
        <item x="134"/>
        <item x="212"/>
        <item x="269"/>
        <item x="160"/>
        <item x="82"/>
        <item x="4"/>
        <item x="191"/>
        <item x="139"/>
        <item x="30"/>
        <item x="86"/>
        <item x="61"/>
        <item x="165"/>
        <item x="87"/>
        <item x="264"/>
        <item x="279"/>
        <item x="164"/>
        <item x="294"/>
        <item x="290"/>
        <item x="19"/>
        <item x="97"/>
        <item x="8"/>
        <item x="249"/>
        <item x="45"/>
        <item x="301"/>
        <item x="190"/>
        <item x="93"/>
        <item x="60"/>
        <item x="67"/>
        <item x="268"/>
        <item x="41"/>
        <item x="305"/>
        <item x="216"/>
        <item x="145"/>
        <item x="15"/>
        <item x="138"/>
        <item x="175"/>
        <item x="253"/>
        <item x="275"/>
        <item x="197"/>
        <item x="149"/>
        <item x="201"/>
        <item x="227"/>
        <item x="119"/>
        <item x="242"/>
        <item x="123"/>
        <item x="112"/>
        <item x="34"/>
        <item x="71"/>
        <item x="223"/>
        <item x="171"/>
        <item x="185"/>
        <item x="81"/>
        <item x="133"/>
        <item x="20"/>
        <item x="228"/>
        <item x="150"/>
        <item x="55"/>
        <item x="280"/>
        <item x="263"/>
        <item x="176"/>
        <item x="289"/>
        <item x="237"/>
        <item x="3"/>
        <item x="306"/>
        <item x="202"/>
        <item x="98"/>
        <item x="159"/>
        <item x="124"/>
        <item x="29"/>
        <item x="254"/>
        <item x="211"/>
        <item x="107"/>
        <item x="72"/>
        <item x="46"/>
        <item x="214"/>
        <item x="162"/>
        <item x="84"/>
        <item x="136"/>
        <item x="6"/>
        <item x="266"/>
        <item x="240"/>
        <item x="188"/>
        <item x="309"/>
        <item x="292"/>
        <item x="58"/>
        <item x="110"/>
        <item x="32"/>
        <item x="205"/>
        <item x="23"/>
        <item x="127"/>
        <item x="257"/>
        <item x="179"/>
        <item x="231"/>
        <item x="153"/>
        <item x="75"/>
        <item x="49"/>
        <item x="283"/>
        <item x="73"/>
        <item x="101"/>
        <item x="21"/>
        <item x="132"/>
        <item x="255"/>
        <item x="161"/>
        <item x="106"/>
        <item x="141"/>
        <item x="54"/>
        <item x="277"/>
        <item x="95"/>
        <item x="28"/>
        <item x="203"/>
        <item x="184"/>
        <item x="245"/>
        <item x="221"/>
        <item x="11"/>
        <item x="16"/>
        <item x="89"/>
        <item x="224"/>
        <item x="31"/>
        <item x="281"/>
        <item x="125"/>
        <item x="99"/>
        <item x="47"/>
        <item x="158"/>
        <item x="273"/>
        <item x="288"/>
        <item x="271"/>
        <item x="135"/>
        <item x="5"/>
        <item x="105"/>
        <item x="173"/>
        <item x="39"/>
        <item x="229"/>
        <item x="43"/>
        <item x="27"/>
        <item x="187"/>
        <item x="63"/>
        <item x="109"/>
        <item x="236"/>
        <item x="83"/>
        <item x="80"/>
        <item x="297"/>
        <item x="172"/>
        <item x="209"/>
        <item x="307"/>
        <item x="198"/>
        <item x="262"/>
        <item x="53"/>
        <item x="235"/>
        <item x="177"/>
        <item x="79"/>
        <item x="157"/>
        <item x="2"/>
        <item x="104"/>
        <item x="57"/>
        <item x="78"/>
        <item x="151"/>
        <item x="302"/>
        <item x="299"/>
        <item x="143"/>
        <item x="291"/>
        <item x="210"/>
        <item x="169"/>
        <item x="251"/>
        <item x="265"/>
        <item x="247"/>
        <item x="199"/>
        <item x="303"/>
        <item x="42"/>
        <item x="117"/>
        <item x="183"/>
        <item x="121"/>
        <item x="293"/>
        <item x="25"/>
        <item x="181"/>
        <item x="68"/>
        <item x="250"/>
        <item x="137"/>
        <item x="115"/>
        <item x="193"/>
        <item x="1"/>
        <item x="52"/>
        <item x="276"/>
        <item x="225"/>
        <item x="146"/>
        <item x="213"/>
        <item x="261"/>
        <item x="239"/>
        <item x="215"/>
        <item x="167"/>
        <item x="17"/>
        <item x="241"/>
        <item x="37"/>
        <item x="7"/>
        <item x="130"/>
        <item x="195"/>
        <item x="120"/>
        <item x="267"/>
        <item x="155"/>
        <item x="91"/>
        <item x="147"/>
        <item x="287"/>
        <item x="131"/>
        <item x="219"/>
        <item x="208"/>
        <item x="69"/>
        <item x="182"/>
        <item x="111"/>
        <item x="129"/>
        <item x="13"/>
        <item x="94"/>
        <item x="286"/>
        <item x="259"/>
        <item x="189"/>
        <item x="65"/>
        <item x="85"/>
        <item x="207"/>
        <item x="51"/>
        <item x="26"/>
        <item x="163"/>
        <item x="234"/>
        <item x="0"/>
        <item x="103"/>
        <item x="33"/>
        <item x="233"/>
        <item x="260"/>
        <item x="156"/>
        <item x="285"/>
        <item x="311"/>
        <item x="77"/>
        <item x="59"/>
        <item t="default"/>
      </items>
    </pivotField>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2">
    <i>
      <x v="1"/>
    </i>
    <i>
      <x v="2"/>
    </i>
    <i>
      <x v="3"/>
    </i>
    <i>
      <x v="4"/>
    </i>
    <i>
      <x v="5"/>
    </i>
    <i>
      <x v="6"/>
    </i>
    <i>
      <x v="7"/>
    </i>
    <i>
      <x v="8"/>
    </i>
    <i>
      <x v="9"/>
    </i>
    <i>
      <x v="10"/>
    </i>
    <i>
      <x v="11"/>
    </i>
    <i>
      <x v="12"/>
    </i>
  </rowItems>
  <colItems count="1">
    <i/>
  </colItems>
  <dataFields count="1">
    <dataField name="Sum of Deal Value ($)" fld="8" baseField="0" baseItem="0"/>
  </dataFields>
  <formats count="1">
    <format dxfId="19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0D5633-B26E-4A41-8ACC-B308965AE9B8}" name="PivotTable2"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3:F8" firstHeaderRow="1" firstDataRow="1" firstDataCol="1"/>
  <pivotFields count="13">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axis="axisRow" showAll="0">
      <items count="6">
        <item x="4"/>
        <item x="3"/>
        <item x="0"/>
        <item x="1"/>
        <item x="2"/>
        <item t="default"/>
      </items>
    </pivotField>
    <pivotField numFmtId="14" showAll="0">
      <items count="13">
        <item x="0"/>
        <item x="1"/>
        <item x="2"/>
        <item x="3"/>
        <item x="4"/>
        <item x="5"/>
        <item x="6"/>
        <item x="7"/>
        <item x="8"/>
        <item x="9"/>
        <item x="10"/>
        <item x="11"/>
        <item t="default"/>
      </items>
    </pivotField>
    <pivotField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showAll="0">
      <items count="20">
        <item x="13"/>
        <item x="4"/>
        <item x="2"/>
        <item x="6"/>
        <item x="9"/>
        <item x="11"/>
        <item x="12"/>
        <item x="16"/>
        <item x="0"/>
        <item x="8"/>
        <item x="1"/>
        <item x="15"/>
        <item x="3"/>
        <item x="10"/>
        <item x="17"/>
        <item x="5"/>
        <item x="14"/>
        <item x="7"/>
        <item x="18"/>
        <item t="default"/>
      </items>
    </pivotField>
    <pivotField showAll="0"/>
    <pivotField showAll="0">
      <items count="12">
        <item x="7"/>
        <item x="8"/>
        <item x="2"/>
        <item x="4"/>
        <item x="1"/>
        <item x="3"/>
        <item x="9"/>
        <item x="0"/>
        <item x="10"/>
        <item x="5"/>
        <item x="6"/>
        <item t="default"/>
      </items>
    </pivotField>
    <pivotField numFmtId="9" showAll="0"/>
    <pivotField showAll="0">
      <items count="313">
        <item x="50"/>
        <item x="206"/>
        <item x="154"/>
        <item x="76"/>
        <item x="102"/>
        <item x="284"/>
        <item x="310"/>
        <item x="128"/>
        <item x="258"/>
        <item x="24"/>
        <item x="232"/>
        <item x="180"/>
        <item x="168"/>
        <item x="12"/>
        <item x="220"/>
        <item x="194"/>
        <item x="64"/>
        <item x="272"/>
        <item x="116"/>
        <item x="38"/>
        <item x="142"/>
        <item x="246"/>
        <item x="148"/>
        <item x="90"/>
        <item x="298"/>
        <item x="122"/>
        <item x="278"/>
        <item x="252"/>
        <item x="44"/>
        <item x="70"/>
        <item x="226"/>
        <item x="18"/>
        <item x="96"/>
        <item x="200"/>
        <item x="304"/>
        <item x="126"/>
        <item x="174"/>
        <item x="100"/>
        <item x="204"/>
        <item x="178"/>
        <item x="230"/>
        <item x="256"/>
        <item x="152"/>
        <item x="22"/>
        <item x="74"/>
        <item x="308"/>
        <item x="48"/>
        <item x="282"/>
        <item x="118"/>
        <item x="40"/>
        <item x="222"/>
        <item x="248"/>
        <item x="92"/>
        <item x="14"/>
        <item x="300"/>
        <item x="66"/>
        <item x="196"/>
        <item x="170"/>
        <item x="144"/>
        <item x="274"/>
        <item x="10"/>
        <item x="296"/>
        <item x="36"/>
        <item x="244"/>
        <item x="192"/>
        <item x="218"/>
        <item x="270"/>
        <item x="114"/>
        <item x="140"/>
        <item x="62"/>
        <item x="166"/>
        <item x="88"/>
        <item x="113"/>
        <item x="217"/>
        <item x="108"/>
        <item x="295"/>
        <item x="243"/>
        <item x="186"/>
        <item x="56"/>
        <item x="9"/>
        <item x="35"/>
        <item x="238"/>
        <item x="134"/>
        <item x="212"/>
        <item x="269"/>
        <item x="160"/>
        <item x="82"/>
        <item x="4"/>
        <item x="191"/>
        <item x="139"/>
        <item x="30"/>
        <item x="86"/>
        <item x="61"/>
        <item x="165"/>
        <item x="87"/>
        <item x="264"/>
        <item x="279"/>
        <item x="164"/>
        <item x="294"/>
        <item x="290"/>
        <item x="19"/>
        <item x="97"/>
        <item x="8"/>
        <item x="249"/>
        <item x="45"/>
        <item x="301"/>
        <item x="190"/>
        <item x="93"/>
        <item x="60"/>
        <item x="67"/>
        <item x="268"/>
        <item x="41"/>
        <item x="305"/>
        <item x="216"/>
        <item x="145"/>
        <item x="15"/>
        <item x="138"/>
        <item x="175"/>
        <item x="253"/>
        <item x="275"/>
        <item x="197"/>
        <item x="149"/>
        <item x="201"/>
        <item x="227"/>
        <item x="119"/>
        <item x="242"/>
        <item x="123"/>
        <item x="112"/>
        <item x="34"/>
        <item x="71"/>
        <item x="223"/>
        <item x="171"/>
        <item x="185"/>
        <item x="81"/>
        <item x="133"/>
        <item x="20"/>
        <item x="228"/>
        <item x="150"/>
        <item x="55"/>
        <item x="280"/>
        <item x="263"/>
        <item x="176"/>
        <item x="289"/>
        <item x="237"/>
        <item x="3"/>
        <item x="306"/>
        <item x="202"/>
        <item x="98"/>
        <item x="159"/>
        <item x="124"/>
        <item x="29"/>
        <item x="254"/>
        <item x="211"/>
        <item x="107"/>
        <item x="72"/>
        <item x="46"/>
        <item x="214"/>
        <item x="162"/>
        <item x="84"/>
        <item x="136"/>
        <item x="6"/>
        <item x="266"/>
        <item x="240"/>
        <item x="188"/>
        <item x="309"/>
        <item x="292"/>
        <item x="58"/>
        <item x="110"/>
        <item x="32"/>
        <item x="205"/>
        <item x="23"/>
        <item x="127"/>
        <item x="257"/>
        <item x="179"/>
        <item x="231"/>
        <item x="153"/>
        <item x="75"/>
        <item x="49"/>
        <item x="283"/>
        <item x="73"/>
        <item x="101"/>
        <item x="21"/>
        <item x="132"/>
        <item x="255"/>
        <item x="161"/>
        <item x="106"/>
        <item x="141"/>
        <item x="54"/>
        <item x="277"/>
        <item x="95"/>
        <item x="28"/>
        <item x="203"/>
        <item x="184"/>
        <item x="245"/>
        <item x="221"/>
        <item x="11"/>
        <item x="16"/>
        <item x="89"/>
        <item x="224"/>
        <item x="31"/>
        <item x="281"/>
        <item x="125"/>
        <item x="99"/>
        <item x="47"/>
        <item x="158"/>
        <item x="273"/>
        <item x="288"/>
        <item x="271"/>
        <item x="135"/>
        <item x="5"/>
        <item x="105"/>
        <item x="173"/>
        <item x="39"/>
        <item x="229"/>
        <item x="43"/>
        <item x="27"/>
        <item x="187"/>
        <item x="63"/>
        <item x="109"/>
        <item x="236"/>
        <item x="83"/>
        <item x="80"/>
        <item x="297"/>
        <item x="172"/>
        <item x="209"/>
        <item x="307"/>
        <item x="198"/>
        <item x="262"/>
        <item x="53"/>
        <item x="235"/>
        <item x="177"/>
        <item x="79"/>
        <item x="157"/>
        <item x="2"/>
        <item x="104"/>
        <item x="57"/>
        <item x="78"/>
        <item x="151"/>
        <item x="302"/>
        <item x="299"/>
        <item x="143"/>
        <item x="291"/>
        <item x="210"/>
        <item x="169"/>
        <item x="251"/>
        <item x="265"/>
        <item x="247"/>
        <item x="199"/>
        <item x="303"/>
        <item x="42"/>
        <item x="117"/>
        <item x="183"/>
        <item x="121"/>
        <item x="293"/>
        <item x="25"/>
        <item x="181"/>
        <item x="68"/>
        <item x="250"/>
        <item x="137"/>
        <item x="115"/>
        <item x="193"/>
        <item x="1"/>
        <item x="52"/>
        <item x="276"/>
        <item x="225"/>
        <item x="146"/>
        <item x="213"/>
        <item x="261"/>
        <item x="239"/>
        <item x="215"/>
        <item x="167"/>
        <item x="17"/>
        <item x="241"/>
        <item x="37"/>
        <item x="7"/>
        <item x="130"/>
        <item x="195"/>
        <item x="120"/>
        <item x="267"/>
        <item x="155"/>
        <item x="91"/>
        <item x="147"/>
        <item x="287"/>
        <item x="131"/>
        <item x="219"/>
        <item x="208"/>
        <item x="69"/>
        <item x="182"/>
        <item x="111"/>
        <item x="129"/>
        <item x="13"/>
        <item x="94"/>
        <item x="286"/>
        <item x="259"/>
        <item x="189"/>
        <item x="65"/>
        <item x="85"/>
        <item x="207"/>
        <item x="51"/>
        <item x="26"/>
        <item x="163"/>
        <item x="234"/>
        <item x="0"/>
        <item x="103"/>
        <item x="33"/>
        <item x="233"/>
        <item x="260"/>
        <item x="156"/>
        <item x="285"/>
        <item x="311"/>
        <item x="77"/>
        <item x="59"/>
        <item t="default"/>
      </items>
    </pivotField>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x v="4"/>
    </i>
  </rowItems>
  <colItems count="1">
    <i/>
  </colItems>
  <dataFields count="1">
    <dataField name="Average of Service Level" fld="9" subtotal="average" baseField="1" baseItem="2" numFmtId="43"/>
  </dataFields>
  <formats count="1">
    <format dxfId="1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CBFA6B-5E73-47CD-A127-EE2019FA1C75}"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showAll="0"/>
    <pivotField numFmtId="14" showAll="0">
      <items count="13">
        <item x="0"/>
        <item x="1"/>
        <item x="2"/>
        <item x="3"/>
        <item x="4"/>
        <item x="5"/>
        <item x="6"/>
        <item x="7"/>
        <item x="8"/>
        <item x="9"/>
        <item x="10"/>
        <item x="11"/>
        <item t="default"/>
      </items>
    </pivotField>
    <pivotField dataField="1"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dataField="1" showAll="0">
      <items count="20">
        <item x="13"/>
        <item x="4"/>
        <item x="2"/>
        <item x="6"/>
        <item x="9"/>
        <item x="11"/>
        <item x="12"/>
        <item x="16"/>
        <item x="0"/>
        <item x="8"/>
        <item x="1"/>
        <item x="15"/>
        <item x="3"/>
        <item x="10"/>
        <item x="17"/>
        <item x="5"/>
        <item x="14"/>
        <item x="7"/>
        <item x="18"/>
        <item t="default"/>
      </items>
    </pivotField>
    <pivotField showAll="0"/>
    <pivotField dataField="1" showAll="0">
      <items count="12">
        <item x="7"/>
        <item x="8"/>
        <item x="2"/>
        <item x="4"/>
        <item x="1"/>
        <item x="3"/>
        <item x="9"/>
        <item x="0"/>
        <item x="10"/>
        <item x="5"/>
        <item x="6"/>
        <item t="default"/>
      </items>
    </pivotField>
    <pivotField numFmtId="9" showAll="0"/>
    <pivotField dataField="1" showAll="0">
      <items count="313">
        <item x="50"/>
        <item x="206"/>
        <item x="154"/>
        <item x="76"/>
        <item x="102"/>
        <item x="284"/>
        <item x="310"/>
        <item x="128"/>
        <item x="258"/>
        <item x="24"/>
        <item x="232"/>
        <item x="180"/>
        <item x="168"/>
        <item x="12"/>
        <item x="220"/>
        <item x="194"/>
        <item x="64"/>
        <item x="272"/>
        <item x="116"/>
        <item x="38"/>
        <item x="142"/>
        <item x="246"/>
        <item x="148"/>
        <item x="90"/>
        <item x="298"/>
        <item x="122"/>
        <item x="278"/>
        <item x="252"/>
        <item x="44"/>
        <item x="70"/>
        <item x="226"/>
        <item x="18"/>
        <item x="96"/>
        <item x="200"/>
        <item x="304"/>
        <item x="126"/>
        <item x="174"/>
        <item x="100"/>
        <item x="204"/>
        <item x="178"/>
        <item x="230"/>
        <item x="256"/>
        <item x="152"/>
        <item x="22"/>
        <item x="74"/>
        <item x="308"/>
        <item x="48"/>
        <item x="282"/>
        <item x="118"/>
        <item x="40"/>
        <item x="222"/>
        <item x="248"/>
        <item x="92"/>
        <item x="14"/>
        <item x="300"/>
        <item x="66"/>
        <item x="196"/>
        <item x="170"/>
        <item x="144"/>
        <item x="274"/>
        <item x="10"/>
        <item x="296"/>
        <item x="36"/>
        <item x="244"/>
        <item x="192"/>
        <item x="218"/>
        <item x="270"/>
        <item x="114"/>
        <item x="140"/>
        <item x="62"/>
        <item x="166"/>
        <item x="88"/>
        <item x="113"/>
        <item x="217"/>
        <item x="108"/>
        <item x="295"/>
        <item x="243"/>
        <item x="186"/>
        <item x="56"/>
        <item x="9"/>
        <item x="35"/>
        <item x="238"/>
        <item x="134"/>
        <item x="212"/>
        <item x="269"/>
        <item x="160"/>
        <item x="82"/>
        <item x="4"/>
        <item x="191"/>
        <item x="139"/>
        <item x="30"/>
        <item x="86"/>
        <item x="61"/>
        <item x="165"/>
        <item x="87"/>
        <item x="264"/>
        <item x="279"/>
        <item x="164"/>
        <item x="294"/>
        <item x="290"/>
        <item x="19"/>
        <item x="97"/>
        <item x="8"/>
        <item x="249"/>
        <item x="45"/>
        <item x="301"/>
        <item x="190"/>
        <item x="93"/>
        <item x="60"/>
        <item x="67"/>
        <item x="268"/>
        <item x="41"/>
        <item x="305"/>
        <item x="216"/>
        <item x="145"/>
        <item x="15"/>
        <item x="138"/>
        <item x="175"/>
        <item x="253"/>
        <item x="275"/>
        <item x="197"/>
        <item x="149"/>
        <item x="201"/>
        <item x="227"/>
        <item x="119"/>
        <item x="242"/>
        <item x="123"/>
        <item x="112"/>
        <item x="34"/>
        <item x="71"/>
        <item x="223"/>
        <item x="171"/>
        <item x="185"/>
        <item x="81"/>
        <item x="133"/>
        <item x="20"/>
        <item x="228"/>
        <item x="150"/>
        <item x="55"/>
        <item x="280"/>
        <item x="263"/>
        <item x="176"/>
        <item x="289"/>
        <item x="237"/>
        <item x="3"/>
        <item x="306"/>
        <item x="202"/>
        <item x="98"/>
        <item x="159"/>
        <item x="124"/>
        <item x="29"/>
        <item x="254"/>
        <item x="211"/>
        <item x="107"/>
        <item x="72"/>
        <item x="46"/>
        <item x="214"/>
        <item x="162"/>
        <item x="84"/>
        <item x="136"/>
        <item x="6"/>
        <item x="266"/>
        <item x="240"/>
        <item x="188"/>
        <item x="309"/>
        <item x="292"/>
        <item x="58"/>
        <item x="110"/>
        <item x="32"/>
        <item x="205"/>
        <item x="23"/>
        <item x="127"/>
        <item x="257"/>
        <item x="179"/>
        <item x="231"/>
        <item x="153"/>
        <item x="75"/>
        <item x="49"/>
        <item x="283"/>
        <item x="73"/>
        <item x="101"/>
        <item x="21"/>
        <item x="132"/>
        <item x="255"/>
        <item x="161"/>
        <item x="106"/>
        <item x="141"/>
        <item x="54"/>
        <item x="277"/>
        <item x="95"/>
        <item x="28"/>
        <item x="203"/>
        <item x="184"/>
        <item x="245"/>
        <item x="221"/>
        <item x="11"/>
        <item x="16"/>
        <item x="89"/>
        <item x="224"/>
        <item x="31"/>
        <item x="281"/>
        <item x="125"/>
        <item x="99"/>
        <item x="47"/>
        <item x="158"/>
        <item x="273"/>
        <item x="288"/>
        <item x="271"/>
        <item x="135"/>
        <item x="5"/>
        <item x="105"/>
        <item x="173"/>
        <item x="39"/>
        <item x="229"/>
        <item x="43"/>
        <item x="27"/>
        <item x="187"/>
        <item x="63"/>
        <item x="109"/>
        <item x="236"/>
        <item x="83"/>
        <item x="80"/>
        <item x="297"/>
        <item x="172"/>
        <item x="209"/>
        <item x="307"/>
        <item x="198"/>
        <item x="262"/>
        <item x="53"/>
        <item x="235"/>
        <item x="177"/>
        <item x="79"/>
        <item x="157"/>
        <item x="2"/>
        <item x="104"/>
        <item x="57"/>
        <item x="78"/>
        <item x="151"/>
        <item x="302"/>
        <item x="299"/>
        <item x="143"/>
        <item x="291"/>
        <item x="210"/>
        <item x="169"/>
        <item x="251"/>
        <item x="265"/>
        <item x="247"/>
        <item x="199"/>
        <item x="303"/>
        <item x="42"/>
        <item x="117"/>
        <item x="183"/>
        <item x="121"/>
        <item x="293"/>
        <item x="25"/>
        <item x="181"/>
        <item x="68"/>
        <item x="250"/>
        <item x="137"/>
        <item x="115"/>
        <item x="193"/>
        <item x="1"/>
        <item x="52"/>
        <item x="276"/>
        <item x="225"/>
        <item x="146"/>
        <item x="213"/>
        <item x="261"/>
        <item x="239"/>
        <item x="215"/>
        <item x="167"/>
        <item x="17"/>
        <item x="241"/>
        <item x="37"/>
        <item x="7"/>
        <item x="130"/>
        <item x="195"/>
        <item x="120"/>
        <item x="267"/>
        <item x="155"/>
        <item x="91"/>
        <item x="147"/>
        <item x="287"/>
        <item x="131"/>
        <item x="219"/>
        <item x="208"/>
        <item x="69"/>
        <item x="182"/>
        <item x="111"/>
        <item x="129"/>
        <item x="13"/>
        <item x="94"/>
        <item x="286"/>
        <item x="259"/>
        <item x="189"/>
        <item x="65"/>
        <item x="85"/>
        <item x="207"/>
        <item x="51"/>
        <item x="26"/>
        <item x="163"/>
        <item x="234"/>
        <item x="0"/>
        <item x="103"/>
        <item x="33"/>
        <item x="233"/>
        <item x="260"/>
        <item x="156"/>
        <item x="285"/>
        <item x="311"/>
        <item x="77"/>
        <item x="59"/>
        <item t="default"/>
      </items>
    </pivotField>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 Total Calls" fld="3" baseField="0" baseItem="0"/>
    <dataField name=" Calls Reached" fld="4" baseField="0" baseItem="0"/>
    <dataField name=" Deals Closed" fld="6" baseField="0" baseItem="0"/>
    <dataField name=" Deal Value ($)" fld="8" baseField="0" baseItem="0"/>
  </dataFields>
  <formats count="3">
    <format dxfId="198">
      <pivotArea outline="0" collapsedLevelsAreSubtotals="1" fieldPosition="0"/>
    </format>
    <format dxfId="197">
      <pivotArea collapsedLevelsAreSubtotals="1" fieldPosition="0">
        <references count="1">
          <reference field="4294967294" count="1">
            <x v="3"/>
          </reference>
        </references>
      </pivotArea>
    </format>
    <format dxfId="19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733873-E534-4BAA-AE7E-58CFFAE29C78}"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E13:I39" firstHeaderRow="0" firstDataRow="1" firstDataCol="1"/>
  <pivotFields count="13">
    <pivotField axis="axisRow" compact="0" outline="0"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compact="0" outline="0" showAll="0">
      <items count="6">
        <item x="4"/>
        <item x="3"/>
        <item x="0"/>
        <item x="1"/>
        <item x="2"/>
        <item t="default"/>
      </items>
    </pivotField>
    <pivotField compact="0" numFmtId="14" outline="0" showAll="0">
      <items count="13">
        <item x="0"/>
        <item x="1"/>
        <item x="2"/>
        <item x="3"/>
        <item x="4"/>
        <item x="5"/>
        <item x="6"/>
        <item x="7"/>
        <item x="8"/>
        <item x="9"/>
        <item x="10"/>
        <item x="11"/>
        <item t="default"/>
      </items>
    </pivotField>
    <pivotField dataField="1" compact="0" outline="0"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dataField="1" compact="0" outline="0" showAll="0">
      <items count="20">
        <item x="13"/>
        <item x="4"/>
        <item x="2"/>
        <item x="6"/>
        <item x="9"/>
        <item x="11"/>
        <item x="12"/>
        <item x="16"/>
        <item x="0"/>
        <item x="8"/>
        <item x="1"/>
        <item x="15"/>
        <item x="3"/>
        <item x="10"/>
        <item x="17"/>
        <item x="5"/>
        <item x="14"/>
        <item x="7"/>
        <item x="18"/>
        <item t="default"/>
      </items>
    </pivotField>
    <pivotField compact="0" outline="0" showAll="0"/>
    <pivotField dataField="1" compact="0" outline="0" showAll="0">
      <items count="12">
        <item x="7"/>
        <item x="8"/>
        <item x="2"/>
        <item x="4"/>
        <item x="1"/>
        <item x="3"/>
        <item x="9"/>
        <item x="0"/>
        <item x="10"/>
        <item x="5"/>
        <item x="6"/>
        <item t="default"/>
      </items>
    </pivotField>
    <pivotField compact="0" numFmtId="9" outline="0" showAll="0"/>
    <pivotField dataField="1" compact="0" outline="0" showAll="0">
      <items count="313">
        <item x="50"/>
        <item x="206"/>
        <item x="154"/>
        <item x="76"/>
        <item x="102"/>
        <item x="284"/>
        <item x="310"/>
        <item x="128"/>
        <item x="258"/>
        <item x="24"/>
        <item x="232"/>
        <item x="180"/>
        <item x="168"/>
        <item x="12"/>
        <item x="220"/>
        <item x="194"/>
        <item x="64"/>
        <item x="272"/>
        <item x="116"/>
        <item x="38"/>
        <item x="142"/>
        <item x="246"/>
        <item x="148"/>
        <item x="90"/>
        <item x="298"/>
        <item x="122"/>
        <item x="278"/>
        <item x="252"/>
        <item x="44"/>
        <item x="70"/>
        <item x="226"/>
        <item x="18"/>
        <item x="96"/>
        <item x="200"/>
        <item x="304"/>
        <item x="126"/>
        <item x="174"/>
        <item x="100"/>
        <item x="204"/>
        <item x="178"/>
        <item x="230"/>
        <item x="256"/>
        <item x="152"/>
        <item x="22"/>
        <item x="74"/>
        <item x="308"/>
        <item x="48"/>
        <item x="282"/>
        <item x="118"/>
        <item x="40"/>
        <item x="222"/>
        <item x="248"/>
        <item x="92"/>
        <item x="14"/>
        <item x="300"/>
        <item x="66"/>
        <item x="196"/>
        <item x="170"/>
        <item x="144"/>
        <item x="274"/>
        <item x="10"/>
        <item x="296"/>
        <item x="36"/>
        <item x="244"/>
        <item x="192"/>
        <item x="218"/>
        <item x="270"/>
        <item x="114"/>
        <item x="140"/>
        <item x="62"/>
        <item x="166"/>
        <item x="88"/>
        <item x="113"/>
        <item x="217"/>
        <item x="108"/>
        <item x="295"/>
        <item x="243"/>
        <item x="186"/>
        <item x="56"/>
        <item x="9"/>
        <item x="35"/>
        <item x="238"/>
        <item x="134"/>
        <item x="212"/>
        <item x="269"/>
        <item x="160"/>
        <item x="82"/>
        <item x="4"/>
        <item x="191"/>
        <item x="139"/>
        <item x="30"/>
        <item x="86"/>
        <item x="61"/>
        <item x="165"/>
        <item x="87"/>
        <item x="264"/>
        <item x="279"/>
        <item x="164"/>
        <item x="294"/>
        <item x="290"/>
        <item x="19"/>
        <item x="97"/>
        <item x="8"/>
        <item x="249"/>
        <item x="45"/>
        <item x="301"/>
        <item x="190"/>
        <item x="93"/>
        <item x="60"/>
        <item x="67"/>
        <item x="268"/>
        <item x="41"/>
        <item x="305"/>
        <item x="216"/>
        <item x="145"/>
        <item x="15"/>
        <item x="138"/>
        <item x="175"/>
        <item x="253"/>
        <item x="275"/>
        <item x="197"/>
        <item x="149"/>
        <item x="201"/>
        <item x="227"/>
        <item x="119"/>
        <item x="242"/>
        <item x="123"/>
        <item x="112"/>
        <item x="34"/>
        <item x="71"/>
        <item x="223"/>
        <item x="171"/>
        <item x="185"/>
        <item x="81"/>
        <item x="133"/>
        <item x="20"/>
        <item x="228"/>
        <item x="150"/>
        <item x="55"/>
        <item x="280"/>
        <item x="263"/>
        <item x="176"/>
        <item x="289"/>
        <item x="237"/>
        <item x="3"/>
        <item x="306"/>
        <item x="202"/>
        <item x="98"/>
        <item x="159"/>
        <item x="124"/>
        <item x="29"/>
        <item x="254"/>
        <item x="211"/>
        <item x="107"/>
        <item x="72"/>
        <item x="46"/>
        <item x="214"/>
        <item x="162"/>
        <item x="84"/>
        <item x="136"/>
        <item x="6"/>
        <item x="266"/>
        <item x="240"/>
        <item x="188"/>
        <item x="309"/>
        <item x="292"/>
        <item x="58"/>
        <item x="110"/>
        <item x="32"/>
        <item x="205"/>
        <item x="23"/>
        <item x="127"/>
        <item x="257"/>
        <item x="179"/>
        <item x="231"/>
        <item x="153"/>
        <item x="75"/>
        <item x="49"/>
        <item x="283"/>
        <item x="73"/>
        <item x="101"/>
        <item x="21"/>
        <item x="132"/>
        <item x="255"/>
        <item x="161"/>
        <item x="106"/>
        <item x="141"/>
        <item x="54"/>
        <item x="277"/>
        <item x="95"/>
        <item x="28"/>
        <item x="203"/>
        <item x="184"/>
        <item x="245"/>
        <item x="221"/>
        <item x="11"/>
        <item x="16"/>
        <item x="89"/>
        <item x="224"/>
        <item x="31"/>
        <item x="281"/>
        <item x="125"/>
        <item x="99"/>
        <item x="47"/>
        <item x="158"/>
        <item x="273"/>
        <item x="288"/>
        <item x="271"/>
        <item x="135"/>
        <item x="5"/>
        <item x="105"/>
        <item x="173"/>
        <item x="39"/>
        <item x="229"/>
        <item x="43"/>
        <item x="27"/>
        <item x="187"/>
        <item x="63"/>
        <item x="109"/>
        <item x="236"/>
        <item x="83"/>
        <item x="80"/>
        <item x="297"/>
        <item x="172"/>
        <item x="209"/>
        <item x="307"/>
        <item x="198"/>
        <item x="262"/>
        <item x="53"/>
        <item x="235"/>
        <item x="177"/>
        <item x="79"/>
        <item x="157"/>
        <item x="2"/>
        <item x="104"/>
        <item x="57"/>
        <item x="78"/>
        <item x="151"/>
        <item x="302"/>
        <item x="299"/>
        <item x="143"/>
        <item x="291"/>
        <item x="210"/>
        <item x="169"/>
        <item x="251"/>
        <item x="265"/>
        <item x="247"/>
        <item x="199"/>
        <item x="303"/>
        <item x="42"/>
        <item x="117"/>
        <item x="183"/>
        <item x="121"/>
        <item x="293"/>
        <item x="25"/>
        <item x="181"/>
        <item x="68"/>
        <item x="250"/>
        <item x="137"/>
        <item x="115"/>
        <item x="193"/>
        <item x="1"/>
        <item x="52"/>
        <item x="276"/>
        <item x="225"/>
        <item x="146"/>
        <item x="213"/>
        <item x="261"/>
        <item x="239"/>
        <item x="215"/>
        <item x="167"/>
        <item x="17"/>
        <item x="241"/>
        <item x="37"/>
        <item x="7"/>
        <item x="130"/>
        <item x="195"/>
        <item x="120"/>
        <item x="267"/>
        <item x="155"/>
        <item x="91"/>
        <item x="147"/>
        <item x="287"/>
        <item x="131"/>
        <item x="219"/>
        <item x="208"/>
        <item x="69"/>
        <item x="182"/>
        <item x="111"/>
        <item x="129"/>
        <item x="13"/>
        <item x="94"/>
        <item x="286"/>
        <item x="259"/>
        <item x="189"/>
        <item x="65"/>
        <item x="85"/>
        <item x="207"/>
        <item x="51"/>
        <item x="26"/>
        <item x="163"/>
        <item x="234"/>
        <item x="0"/>
        <item x="103"/>
        <item x="33"/>
        <item x="233"/>
        <item x="260"/>
        <item x="156"/>
        <item x="285"/>
        <item x="311"/>
        <item x="77"/>
        <item x="59"/>
        <item t="default"/>
      </items>
    </pivotField>
    <pivotField compact="0" outline="0" showAll="0"/>
    <pivotField compact="0" numFmtId="9" outline="0" showAll="0">
      <items count="232">
        <item x="18"/>
        <item x="42"/>
        <item x="66"/>
        <item x="219"/>
        <item x="188"/>
        <item x="205"/>
        <item x="30"/>
        <item x="136"/>
        <item x="78"/>
        <item x="53"/>
        <item x="170"/>
        <item x="100"/>
        <item x="156"/>
        <item x="5"/>
        <item x="149"/>
        <item x="183"/>
        <item x="46"/>
        <item x="94"/>
        <item x="22"/>
        <item x="199"/>
        <item x="166"/>
        <item x="213"/>
        <item x="70"/>
        <item x="130"/>
        <item x="96"/>
        <item x="217"/>
        <item x="114"/>
        <item x="152"/>
        <item x="25"/>
        <item x="107"/>
        <item x="61"/>
        <item x="13"/>
        <item x="134"/>
        <item x="37"/>
        <item x="20"/>
        <item x="164"/>
        <item x="49"/>
        <item x="142"/>
        <item x="168"/>
        <item x="204"/>
        <item x="76"/>
        <item x="0"/>
        <item x="73"/>
        <item x="211"/>
        <item x="154"/>
        <item x="92"/>
        <item x="98"/>
        <item x="28"/>
        <item x="89"/>
        <item x="51"/>
        <item x="3"/>
        <item x="191"/>
        <item x="44"/>
        <item x="117"/>
        <item x="86"/>
        <item x="68"/>
        <item x="104"/>
        <item x="8"/>
        <item x="84"/>
        <item x="36"/>
        <item x="64"/>
        <item x="123"/>
        <item x="197"/>
        <item x="176"/>
        <item x="194"/>
        <item x="82"/>
        <item x="110"/>
        <item x="145"/>
        <item x="56"/>
        <item x="223"/>
        <item x="16"/>
        <item x="40"/>
        <item x="59"/>
        <item x="99"/>
        <item x="160"/>
        <item x="52"/>
        <item x="29"/>
        <item x="218"/>
        <item x="11"/>
        <item x="35"/>
        <item x="10"/>
        <item x="140"/>
        <item x="187"/>
        <item x="225"/>
        <item x="77"/>
        <item x="74"/>
        <item x="105"/>
        <item x="85"/>
        <item x="141"/>
        <item x="186"/>
        <item x="221"/>
        <item x="155"/>
        <item x="124"/>
        <item x="32"/>
        <item x="133"/>
        <item x="224"/>
        <item x="60"/>
        <item x="193"/>
        <item x="177"/>
        <item x="26"/>
        <item x="97"/>
        <item x="4"/>
        <item x="12"/>
        <item x="106"/>
        <item x="102"/>
        <item x="208"/>
        <item x="135"/>
        <item x="118"/>
        <item x="169"/>
        <item x="50"/>
        <item x="190"/>
        <item x="159"/>
        <item x="116"/>
        <item x="202"/>
        <item x="58"/>
        <item x="175"/>
        <item x="80"/>
        <item x="1"/>
        <item x="120"/>
        <item x="207"/>
        <item x="2"/>
        <item x="75"/>
        <item x="172"/>
        <item x="203"/>
        <item x="153"/>
        <item x="27"/>
        <item x="216"/>
        <item x="91"/>
        <item x="227"/>
        <item x="210"/>
        <item x="67"/>
        <item x="128"/>
        <item x="19"/>
        <item x="43"/>
        <item x="173"/>
        <item x="7"/>
        <item x="181"/>
        <item x="55"/>
        <item x="222"/>
        <item x="33"/>
        <item x="103"/>
        <item x="147"/>
        <item x="112"/>
        <item x="138"/>
        <item x="158"/>
        <item x="229"/>
        <item x="121"/>
        <item x="81"/>
        <item x="214"/>
        <item x="200"/>
        <item x="150"/>
        <item x="23"/>
        <item x="71"/>
        <item x="184"/>
        <item x="47"/>
        <item x="131"/>
        <item x="115"/>
        <item x="122"/>
        <item x="167"/>
        <item x="206"/>
        <item x="108"/>
        <item x="192"/>
        <item x="174"/>
        <item x="178"/>
        <item x="132"/>
        <item x="139"/>
        <item x="95"/>
        <item x="57"/>
        <item x="38"/>
        <item x="62"/>
        <item x="161"/>
        <item x="87"/>
        <item x="195"/>
        <item x="9"/>
        <item x="34"/>
        <item x="93"/>
        <item x="230"/>
        <item x="125"/>
        <item x="129"/>
        <item x="45"/>
        <item x="165"/>
        <item x="143"/>
        <item x="24"/>
        <item x="21"/>
        <item x="196"/>
        <item x="83"/>
        <item x="14"/>
        <item x="201"/>
        <item x="15"/>
        <item x="215"/>
        <item x="72"/>
        <item x="228"/>
        <item x="151"/>
        <item x="63"/>
        <item x="144"/>
        <item x="69"/>
        <item x="180"/>
        <item x="212"/>
        <item x="185"/>
        <item x="48"/>
        <item x="119"/>
        <item x="88"/>
        <item x="109"/>
        <item x="162"/>
        <item x="113"/>
        <item x="90"/>
        <item x="198"/>
        <item x="148"/>
        <item x="39"/>
        <item x="182"/>
        <item x="6"/>
        <item x="126"/>
        <item x="137"/>
        <item x="171"/>
        <item x="209"/>
        <item x="111"/>
        <item x="179"/>
        <item x="146"/>
        <item x="226"/>
        <item x="127"/>
        <item x="157"/>
        <item x="41"/>
        <item x="65"/>
        <item x="163"/>
        <item x="101"/>
        <item x="220"/>
        <item x="189"/>
        <item x="17"/>
        <item x="79"/>
        <item x="54"/>
        <item x="31"/>
        <item t="default"/>
      </items>
    </pivotField>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x v="25"/>
    </i>
  </rowItems>
  <colFields count="1">
    <field x="-2"/>
  </colFields>
  <colItems count="4">
    <i>
      <x/>
    </i>
    <i i="1">
      <x v="1"/>
    </i>
    <i i="2">
      <x v="2"/>
    </i>
    <i i="3">
      <x v="3"/>
    </i>
  </colItems>
  <dataFields count="4">
    <dataField name="Sum of Total Calls" fld="3" baseField="0" baseItem="0"/>
    <dataField name="Sum of Calls Reached" fld="4" baseField="0" baseItem="0"/>
    <dataField name="Sum of Deals Closed" fld="6" baseField="0" baseItem="0"/>
    <dataField name="Sum of Deal Value ($)" fld="8" baseField="0" baseItem="0"/>
  </dataFields>
  <formats count="1">
    <format dxfId="1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DE8EF06F-1ABA-4229-92F8-D708421D22B0}" sourceName="Name">
  <pivotTables>
    <pivotTable tabId="6" name="PivotTable4"/>
    <pivotTable tabId="6" name="PivotTable1"/>
    <pivotTable tabId="6" name="PivotTable2"/>
    <pivotTable tabId="6" name="PivotTable3"/>
    <pivotTable tabId="5" name="PivotTable1"/>
  </pivotTables>
  <data>
    <tabular pivotCacheId="1383615669">
      <items count="26">
        <i x="15" s="1"/>
        <i x="1" s="1"/>
        <i x="5" s="1"/>
        <i x="7" s="1"/>
        <i x="9" s="1"/>
        <i x="23" s="1"/>
        <i x="17" s="1"/>
        <i x="24" s="1"/>
        <i x="2" s="1"/>
        <i x="21" s="1"/>
        <i x="0" s="1"/>
        <i x="20" s="1"/>
        <i x="13" s="1"/>
        <i x="3" s="1"/>
        <i x="10" s="1"/>
        <i x="22" s="1"/>
        <i x="16" s="1"/>
        <i x="4" s="1"/>
        <i x="14" s="1"/>
        <i x="25" s="1"/>
        <i x="8" s="1"/>
        <i x="12" s="1"/>
        <i x="11" s="1"/>
        <i x="6" s="1"/>
        <i x="19"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4C649E33-66CD-459C-BA13-839A8F75BDC2}" cache="Slicer_Name" caption="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4451A3-8F0A-41D4-AF88-9393FD315E2F}" name="Table1" displayName="Table1" ref="A1:K313" totalsRowShown="0">
  <autoFilter ref="A1:K313" xr:uid="{ED4451A3-8F0A-41D4-AF88-9393FD315E2F}"/>
  <tableColumns count="11">
    <tableColumn id="1" xr3:uid="{89C30649-F902-4667-B66D-C41F892C5928}" name="Name"/>
    <tableColumn id="2" xr3:uid="{B7FC43E6-2054-4DB1-B0F1-FEE2D88CD0AE}" name="Region"/>
    <tableColumn id="3" xr3:uid="{EADAC0E5-5B5E-401E-A735-565584CE3F02}" name="Date" dataDxfId="193"/>
    <tableColumn id="4" xr3:uid="{57B834D9-FBC6-49A8-9D77-1B40BF5656BF}" name="Total Calls"/>
    <tableColumn id="5" xr3:uid="{E9923B54-FEF2-41D6-8C63-14DBC076E084}" name="Calls Reached"/>
    <tableColumn id="6" xr3:uid="{7E3E74A9-5029-4015-9DAB-7AF45488CC60}" name="Average Duration (sec)"/>
    <tableColumn id="7" xr3:uid="{0B67DBCF-AA8E-4A8D-AEE3-4E9121695078}" name="Deals Closed"/>
    <tableColumn id="8" xr3:uid="{4DAF8561-308C-4453-A001-7F599C387A3A}" name="Call Conversion Rate (%)" dataDxfId="192" dataCellStyle="Percent"/>
    <tableColumn id="9" xr3:uid="{C65DB840-93F4-4CFC-9BE6-39B1FCA75C87}" name="Deal Value ($)"/>
    <tableColumn id="10" xr3:uid="{6BAF724F-912E-4666-A077-CC3069ABF8FA}" name="Service Level"/>
    <tableColumn id="11" xr3:uid="{39ECB21B-603F-4D4C-83E3-6DCFF1BEFCDD}" name="Call Drop Rate (%)" dataDxfId="191"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AAFA1-697D-450F-B54C-08F7D4D075E0}">
  <dimension ref="A1:AC37"/>
  <sheetViews>
    <sheetView showGridLines="0" tabSelected="1" zoomScale="90" zoomScaleNormal="90" workbookViewId="0">
      <selection activeCell="W46" sqref="W46"/>
    </sheetView>
  </sheetViews>
  <sheetFormatPr defaultRowHeight="14.4" x14ac:dyDescent="0.3"/>
  <cols>
    <col min="4" max="4" width="9.109375" customWidth="1"/>
    <col min="5" max="6" width="11.21875" bestFit="1" customWidth="1"/>
    <col min="7" max="7" width="11.109375" bestFit="1" customWidth="1"/>
    <col min="8" max="8" width="10.33203125" bestFit="1" customWidth="1"/>
    <col min="9" max="9" width="12.33203125" bestFit="1" customWidth="1"/>
  </cols>
  <sheetData>
    <row r="1" spans="1:29" x14ac:dyDescent="0.3">
      <c r="A1" s="12"/>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row>
    <row r="2" spans="1:29" x14ac:dyDescent="0.3">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row>
    <row r="3" spans="1:29" ht="30" x14ac:dyDescent="0.5">
      <c r="A3" s="14" t="s">
        <v>66</v>
      </c>
      <c r="B3" s="14"/>
      <c r="C3" s="13"/>
      <c r="D3" s="13"/>
      <c r="E3" s="13"/>
      <c r="F3" s="13"/>
      <c r="G3" s="13"/>
      <c r="H3" s="13"/>
      <c r="I3" s="13"/>
      <c r="J3" s="13"/>
      <c r="K3" s="13"/>
      <c r="L3" s="13"/>
      <c r="M3" s="13"/>
      <c r="N3" s="13"/>
      <c r="O3" s="13"/>
      <c r="P3" s="13"/>
      <c r="Q3" s="13"/>
      <c r="R3" s="13"/>
      <c r="S3" s="13"/>
      <c r="T3" s="13"/>
      <c r="U3" s="13"/>
      <c r="V3" s="13"/>
      <c r="W3" s="13"/>
      <c r="X3" s="13"/>
      <c r="Y3" s="13"/>
      <c r="Z3" s="13"/>
      <c r="AA3" s="13"/>
      <c r="AB3" s="13"/>
      <c r="AC3" s="13"/>
    </row>
    <row r="4" spans="1:29" ht="18" x14ac:dyDescent="0.35">
      <c r="A4" s="16" t="s">
        <v>67</v>
      </c>
      <c r="B4" s="17"/>
      <c r="C4" s="17"/>
      <c r="D4" s="13"/>
      <c r="E4" s="13"/>
      <c r="F4" s="13"/>
      <c r="G4" s="13"/>
      <c r="H4" s="13"/>
      <c r="I4" s="13"/>
      <c r="J4" s="13"/>
      <c r="K4" s="13"/>
      <c r="L4" s="13"/>
      <c r="M4" s="13"/>
      <c r="N4" s="13"/>
      <c r="O4" s="13"/>
      <c r="P4" s="13"/>
      <c r="Q4" s="13"/>
      <c r="R4" s="13"/>
      <c r="S4" s="13"/>
      <c r="T4" s="13"/>
      <c r="U4" s="13"/>
      <c r="V4" s="13"/>
      <c r="W4" s="13"/>
      <c r="X4" s="13"/>
      <c r="Y4" s="13"/>
      <c r="Z4" s="13"/>
      <c r="AA4" s="13"/>
      <c r="AB4" s="13"/>
      <c r="AC4" s="13"/>
    </row>
    <row r="5" spans="1:29" x14ac:dyDescent="0.3">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row>
    <row r="6" spans="1:29" x14ac:dyDescent="0.3">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row>
    <row r="7" spans="1:29" x14ac:dyDescent="0.3">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row>
    <row r="8" spans="1:29"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row>
    <row r="9" spans="1:29" x14ac:dyDescent="0.3">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row>
    <row r="10" spans="1:29" x14ac:dyDescent="0.3">
      <c r="A10" s="21"/>
      <c r="B10" s="21"/>
      <c r="C10" s="21"/>
      <c r="D10" s="21"/>
      <c r="E10" s="20" t="s">
        <v>0</v>
      </c>
      <c r="F10" s="20" t="s">
        <v>49</v>
      </c>
      <c r="G10" s="20" t="s">
        <v>50</v>
      </c>
      <c r="H10" s="20" t="s">
        <v>51</v>
      </c>
      <c r="I10" s="20" t="s">
        <v>52</v>
      </c>
      <c r="J10" s="21"/>
      <c r="K10" s="21"/>
      <c r="L10" s="21"/>
      <c r="M10" s="21"/>
      <c r="N10" s="21"/>
      <c r="O10" s="21"/>
      <c r="P10" s="21"/>
      <c r="Q10" s="21"/>
      <c r="R10" s="21"/>
      <c r="S10" s="21"/>
      <c r="T10" s="21"/>
      <c r="U10" s="21"/>
      <c r="V10" s="21"/>
      <c r="W10" s="21"/>
      <c r="X10" s="21"/>
      <c r="Y10" s="21"/>
      <c r="Z10" s="21"/>
      <c r="AA10" s="21"/>
      <c r="AB10" s="21"/>
      <c r="AC10" s="21"/>
    </row>
    <row r="11" spans="1:29" x14ac:dyDescent="0.3">
      <c r="E11" t="s">
        <v>27</v>
      </c>
      <c r="F11" s="8">
        <v>1119</v>
      </c>
      <c r="G11" s="8">
        <v>61</v>
      </c>
      <c r="H11" s="8">
        <v>40</v>
      </c>
      <c r="I11" s="8">
        <v>14672.969999999998</v>
      </c>
    </row>
    <row r="12" spans="1:29" x14ac:dyDescent="0.3">
      <c r="E12" t="s">
        <v>13</v>
      </c>
      <c r="F12" s="8">
        <v>907</v>
      </c>
      <c r="G12" s="8">
        <v>141</v>
      </c>
      <c r="H12" s="8">
        <v>53</v>
      </c>
      <c r="I12" s="8">
        <v>45196.26</v>
      </c>
    </row>
    <row r="13" spans="1:29" x14ac:dyDescent="0.3">
      <c r="E13" t="s">
        <v>17</v>
      </c>
      <c r="F13" s="8">
        <v>731</v>
      </c>
      <c r="G13" s="8">
        <v>79</v>
      </c>
      <c r="H13" s="8">
        <v>31</v>
      </c>
      <c r="I13" s="8">
        <v>43859.520000000004</v>
      </c>
    </row>
    <row r="14" spans="1:29" x14ac:dyDescent="0.3">
      <c r="E14" t="s">
        <v>19</v>
      </c>
      <c r="F14" s="8">
        <v>660</v>
      </c>
      <c r="G14" s="8">
        <v>92</v>
      </c>
      <c r="H14" s="8">
        <v>71</v>
      </c>
      <c r="I14" s="8">
        <v>49072.98</v>
      </c>
    </row>
    <row r="15" spans="1:29" x14ac:dyDescent="0.3">
      <c r="D15" s="15"/>
      <c r="E15" t="s">
        <v>21</v>
      </c>
      <c r="F15" s="8">
        <v>806</v>
      </c>
      <c r="G15" s="8">
        <v>184</v>
      </c>
      <c r="H15" s="8">
        <v>100</v>
      </c>
      <c r="I15" s="8">
        <v>12040.489999999998</v>
      </c>
    </row>
    <row r="16" spans="1:29" x14ac:dyDescent="0.3">
      <c r="E16" t="s">
        <v>35</v>
      </c>
      <c r="F16" s="8">
        <v>1180</v>
      </c>
      <c r="G16" s="8">
        <v>173</v>
      </c>
      <c r="H16" s="8">
        <v>4</v>
      </c>
      <c r="I16" s="8">
        <v>34781.939999999995</v>
      </c>
    </row>
    <row r="17" spans="5:9" x14ac:dyDescent="0.3">
      <c r="E17" t="s">
        <v>29</v>
      </c>
      <c r="F17" s="8">
        <v>288</v>
      </c>
      <c r="G17" s="8">
        <v>180</v>
      </c>
      <c r="H17" s="8">
        <v>81</v>
      </c>
      <c r="I17" s="8">
        <v>44979.729999999996</v>
      </c>
    </row>
    <row r="18" spans="5:9" x14ac:dyDescent="0.3">
      <c r="E18" t="s">
        <v>37</v>
      </c>
      <c r="F18" s="8">
        <v>407</v>
      </c>
      <c r="G18" s="8">
        <v>130</v>
      </c>
      <c r="H18" s="8">
        <v>52</v>
      </c>
      <c r="I18" s="8">
        <v>2829.58</v>
      </c>
    </row>
    <row r="19" spans="5:9" x14ac:dyDescent="0.3">
      <c r="E19" t="s">
        <v>14</v>
      </c>
      <c r="F19" s="8">
        <v>617</v>
      </c>
      <c r="G19" s="8">
        <v>177</v>
      </c>
      <c r="H19" s="8">
        <v>28</v>
      </c>
      <c r="I19" s="8">
        <v>42137.53</v>
      </c>
    </row>
    <row r="20" spans="5:9" x14ac:dyDescent="0.3">
      <c r="E20" t="s">
        <v>33</v>
      </c>
      <c r="F20" s="8">
        <v>1151</v>
      </c>
      <c r="G20" s="8">
        <v>69</v>
      </c>
      <c r="H20" s="8">
        <v>18</v>
      </c>
      <c r="I20" s="8">
        <v>41544.150000000009</v>
      </c>
    </row>
    <row r="21" spans="5:9" x14ac:dyDescent="0.3">
      <c r="E21" t="s">
        <v>11</v>
      </c>
      <c r="F21" s="8">
        <v>783</v>
      </c>
      <c r="G21" s="8">
        <v>181</v>
      </c>
      <c r="H21" s="8">
        <v>77</v>
      </c>
      <c r="I21" s="8">
        <v>49041</v>
      </c>
    </row>
    <row r="22" spans="5:9" x14ac:dyDescent="0.3">
      <c r="E22" t="s">
        <v>32</v>
      </c>
      <c r="F22" s="8">
        <v>246</v>
      </c>
      <c r="G22" s="8">
        <v>172</v>
      </c>
      <c r="H22" s="8">
        <v>17</v>
      </c>
      <c r="I22" s="8">
        <v>18659.18</v>
      </c>
    </row>
    <row r="23" spans="5:9" x14ac:dyDescent="0.3">
      <c r="E23" t="s">
        <v>25</v>
      </c>
      <c r="F23" s="8">
        <v>379</v>
      </c>
      <c r="G23" s="8">
        <v>87</v>
      </c>
      <c r="H23" s="8">
        <v>18</v>
      </c>
      <c r="I23" s="8">
        <v>45591.429999999993</v>
      </c>
    </row>
    <row r="24" spans="5:9" x14ac:dyDescent="0.3">
      <c r="E24" t="s">
        <v>15</v>
      </c>
      <c r="F24" s="8">
        <v>241</v>
      </c>
      <c r="G24" s="8">
        <v>80</v>
      </c>
      <c r="H24" s="8">
        <v>40</v>
      </c>
      <c r="I24" s="8">
        <v>18368.47</v>
      </c>
    </row>
    <row r="25" spans="5:9" x14ac:dyDescent="0.3">
      <c r="E25" t="s">
        <v>22</v>
      </c>
      <c r="F25" s="8">
        <v>226</v>
      </c>
      <c r="G25" s="8">
        <v>91</v>
      </c>
      <c r="H25" s="8">
        <v>73</v>
      </c>
      <c r="I25" s="8">
        <v>9402.9399999999987</v>
      </c>
    </row>
    <row r="26" spans="5:9" x14ac:dyDescent="0.3">
      <c r="E26" t="s">
        <v>34</v>
      </c>
      <c r="F26" s="8">
        <v>848</v>
      </c>
      <c r="G26" s="8">
        <v>99</v>
      </c>
      <c r="H26" s="8">
        <v>84</v>
      </c>
      <c r="I26" s="8">
        <v>6133.4100000000008</v>
      </c>
    </row>
    <row r="27" spans="5:9" x14ac:dyDescent="0.3">
      <c r="E27" t="s">
        <v>28</v>
      </c>
      <c r="F27" s="8">
        <v>1023</v>
      </c>
      <c r="G27" s="8">
        <v>76</v>
      </c>
      <c r="H27" s="8">
        <v>64</v>
      </c>
      <c r="I27" s="8">
        <v>45365.2</v>
      </c>
    </row>
    <row r="28" spans="5:9" x14ac:dyDescent="0.3">
      <c r="E28" t="s">
        <v>16</v>
      </c>
      <c r="F28" s="8">
        <v>977</v>
      </c>
      <c r="G28" s="8">
        <v>166</v>
      </c>
      <c r="H28" s="8">
        <v>55</v>
      </c>
      <c r="I28" s="8">
        <v>12143.710000000001</v>
      </c>
    </row>
    <row r="29" spans="5:9" x14ac:dyDescent="0.3">
      <c r="E29" t="s">
        <v>26</v>
      </c>
      <c r="F29" s="8">
        <v>747</v>
      </c>
      <c r="G29" s="8">
        <v>97</v>
      </c>
      <c r="H29" s="8">
        <v>31</v>
      </c>
      <c r="I29" s="8">
        <v>7844.18</v>
      </c>
    </row>
    <row r="30" spans="5:9" x14ac:dyDescent="0.3">
      <c r="E30" t="s">
        <v>38</v>
      </c>
      <c r="F30" s="8">
        <v>453</v>
      </c>
      <c r="G30" s="8">
        <v>184</v>
      </c>
      <c r="H30" s="8">
        <v>92</v>
      </c>
      <c r="I30" s="8">
        <v>50524.4</v>
      </c>
    </row>
    <row r="31" spans="5:9" x14ac:dyDescent="0.3">
      <c r="E31" t="s">
        <v>20</v>
      </c>
      <c r="F31" s="8">
        <v>367</v>
      </c>
      <c r="G31" s="8">
        <v>217</v>
      </c>
      <c r="H31" s="8">
        <v>103</v>
      </c>
      <c r="I31" s="8">
        <v>14209.390000000001</v>
      </c>
    </row>
    <row r="32" spans="5:9" x14ac:dyDescent="0.3">
      <c r="E32" t="s">
        <v>24</v>
      </c>
      <c r="F32" s="8">
        <v>882</v>
      </c>
      <c r="G32" s="8">
        <v>225</v>
      </c>
      <c r="H32" s="8">
        <v>30</v>
      </c>
      <c r="I32" s="8">
        <v>4278.2</v>
      </c>
    </row>
    <row r="33" spans="5:9" x14ac:dyDescent="0.3">
      <c r="E33" t="s">
        <v>23</v>
      </c>
      <c r="F33" s="8">
        <v>420</v>
      </c>
      <c r="G33" s="8">
        <v>74</v>
      </c>
      <c r="H33" s="8">
        <v>59</v>
      </c>
      <c r="I33" s="8">
        <v>44146.13</v>
      </c>
    </row>
    <row r="34" spans="5:9" x14ac:dyDescent="0.3">
      <c r="E34" t="s">
        <v>18</v>
      </c>
      <c r="F34" s="8">
        <v>924</v>
      </c>
      <c r="G34" s="8">
        <v>218</v>
      </c>
      <c r="H34" s="8">
        <v>30</v>
      </c>
      <c r="I34" s="8">
        <v>29842.950000000004</v>
      </c>
    </row>
    <row r="35" spans="5:9" x14ac:dyDescent="0.3">
      <c r="E35" t="s">
        <v>31</v>
      </c>
      <c r="F35" s="8">
        <v>831</v>
      </c>
      <c r="G35" s="8">
        <v>154</v>
      </c>
      <c r="H35" s="8">
        <v>4</v>
      </c>
      <c r="I35" s="8">
        <v>14526.439999999999</v>
      </c>
    </row>
    <row r="36" spans="5:9" x14ac:dyDescent="0.3">
      <c r="E36" t="s">
        <v>30</v>
      </c>
      <c r="F36" s="8">
        <v>1087</v>
      </c>
      <c r="G36" s="8">
        <v>212</v>
      </c>
      <c r="H36" s="8">
        <v>54</v>
      </c>
      <c r="I36" s="8">
        <v>5002.7100000000009</v>
      </c>
    </row>
    <row r="37" spans="5:9" x14ac:dyDescent="0.3">
      <c r="E37" s="18" t="s">
        <v>71</v>
      </c>
      <c r="F37" s="19">
        <v>18300</v>
      </c>
      <c r="G37" s="19">
        <v>3619</v>
      </c>
      <c r="H37" s="19">
        <v>1309</v>
      </c>
      <c r="I37" s="19">
        <v>706194.8899999999</v>
      </c>
    </row>
  </sheetData>
  <conditionalFormatting pivot="1" sqref="F11:F36">
    <cfRule type="dataBar" priority="4">
      <dataBar>
        <cfvo type="min"/>
        <cfvo type="max"/>
        <color rgb="FF638EC6"/>
      </dataBar>
      <extLst>
        <ext xmlns:x14="http://schemas.microsoft.com/office/spreadsheetml/2009/9/main" uri="{B025F937-C7B1-47D3-B67F-A62EFF666E3E}">
          <x14:id>{EF8AE7BF-D708-4A93-BBA3-C6F0583170A4}</x14:id>
        </ext>
      </extLst>
    </cfRule>
  </conditionalFormatting>
  <conditionalFormatting pivot="1" sqref="G11:G36">
    <cfRule type="dataBar" priority="3">
      <dataBar>
        <cfvo type="min"/>
        <cfvo type="max"/>
        <color rgb="FFFFB628"/>
      </dataBar>
      <extLst>
        <ext xmlns:x14="http://schemas.microsoft.com/office/spreadsheetml/2009/9/main" uri="{B025F937-C7B1-47D3-B67F-A62EFF666E3E}">
          <x14:id>{1F7E4079-238C-480A-A769-CF221850D39D}</x14:id>
        </ext>
      </extLst>
    </cfRule>
  </conditionalFormatting>
  <conditionalFormatting pivot="1" sqref="H11:H36">
    <cfRule type="dataBar" priority="2">
      <dataBar>
        <cfvo type="min"/>
        <cfvo type="max"/>
        <color rgb="FF63C384"/>
      </dataBar>
      <extLst>
        <ext xmlns:x14="http://schemas.microsoft.com/office/spreadsheetml/2009/9/main" uri="{B025F937-C7B1-47D3-B67F-A62EFF666E3E}">
          <x14:id>{2F06A954-FC97-4E6E-8075-2E340DE47822}</x14:id>
        </ext>
      </extLst>
    </cfRule>
  </conditionalFormatting>
  <conditionalFormatting pivot="1" sqref="I11:I36">
    <cfRule type="dataBar" priority="1">
      <dataBar>
        <cfvo type="min"/>
        <cfvo type="max"/>
        <color rgb="FFFF555A"/>
      </dataBar>
      <extLst>
        <ext xmlns:x14="http://schemas.microsoft.com/office/spreadsheetml/2009/9/main" uri="{B025F937-C7B1-47D3-B67F-A62EFF666E3E}">
          <x14:id>{5CC7CB75-BE22-49F1-AC1E-AEA054FA7B4F}</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EF8AE7BF-D708-4A93-BBA3-C6F0583170A4}">
            <x14:dataBar minLength="0" maxLength="100">
              <x14:cfvo type="autoMin"/>
              <x14:cfvo type="autoMax"/>
              <x14:negativeFillColor rgb="FFFF0000"/>
              <x14:axisColor rgb="FF000000"/>
            </x14:dataBar>
          </x14:cfRule>
          <xm:sqref>F11:F36</xm:sqref>
        </x14:conditionalFormatting>
        <x14:conditionalFormatting xmlns:xm="http://schemas.microsoft.com/office/excel/2006/main" pivot="1">
          <x14:cfRule type="dataBar" id="{1F7E4079-238C-480A-A769-CF221850D39D}">
            <x14:dataBar minLength="0" maxLength="100">
              <x14:cfvo type="autoMin"/>
              <x14:cfvo type="autoMax"/>
              <x14:negativeFillColor rgb="FFFF0000"/>
              <x14:axisColor rgb="FF000000"/>
            </x14:dataBar>
          </x14:cfRule>
          <xm:sqref>G11:G36</xm:sqref>
        </x14:conditionalFormatting>
        <x14:conditionalFormatting xmlns:xm="http://schemas.microsoft.com/office/excel/2006/main" pivot="1">
          <x14:cfRule type="dataBar" id="{2F06A954-FC97-4E6E-8075-2E340DE47822}">
            <x14:dataBar minLength="0" maxLength="100">
              <x14:cfvo type="autoMin"/>
              <x14:cfvo type="autoMax"/>
              <x14:negativeFillColor rgb="FFFF0000"/>
              <x14:axisColor rgb="FF000000"/>
            </x14:dataBar>
          </x14:cfRule>
          <xm:sqref>H11:H36</xm:sqref>
        </x14:conditionalFormatting>
        <x14:conditionalFormatting xmlns:xm="http://schemas.microsoft.com/office/excel/2006/main" pivot="1">
          <x14:cfRule type="dataBar" id="{5CC7CB75-BE22-49F1-AC1E-AEA054FA7B4F}">
            <x14:dataBar minLength="0" maxLength="100">
              <x14:cfvo type="autoMin"/>
              <x14:cfvo type="autoMax"/>
              <x14:negativeFillColor rgb="FFFF0000"/>
              <x14:axisColor rgb="FF000000"/>
            </x14:dataBar>
          </x14:cfRule>
          <xm:sqref>I11:I36</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9237A-E960-4447-AB69-122A91A2D354}">
  <dimension ref="A1:I39"/>
  <sheetViews>
    <sheetView topLeftCell="A7" workbookViewId="0">
      <selection activeCell="H11" sqref="H11"/>
    </sheetView>
  </sheetViews>
  <sheetFormatPr defaultRowHeight="14.4" x14ac:dyDescent="0.3"/>
  <cols>
    <col min="1" max="1" width="12.5546875" bestFit="1" customWidth="1"/>
    <col min="2" max="2" width="19.33203125" bestFit="1" customWidth="1"/>
    <col min="3" max="3" width="18.109375" bestFit="1" customWidth="1"/>
    <col min="4" max="4" width="19.33203125" bestFit="1" customWidth="1"/>
    <col min="5" max="5" width="12.5546875" bestFit="1" customWidth="1"/>
    <col min="6" max="6" width="21.6640625" bestFit="1" customWidth="1"/>
    <col min="7" max="7" width="19.109375" bestFit="1" customWidth="1"/>
    <col min="8" max="8" width="18.109375" bestFit="1" customWidth="1"/>
    <col min="9" max="9" width="19.33203125" bestFit="1" customWidth="1"/>
    <col min="10" max="20" width="5.6640625" bestFit="1" customWidth="1"/>
    <col min="21" max="21" width="4.77734375" bestFit="1" customWidth="1"/>
    <col min="22" max="22" width="5.6640625" bestFit="1" customWidth="1"/>
    <col min="23" max="23" width="4.77734375" bestFit="1" customWidth="1"/>
    <col min="24" max="24" width="5.6640625" bestFit="1" customWidth="1"/>
    <col min="25" max="27" width="4.77734375" bestFit="1" customWidth="1"/>
    <col min="28" max="28" width="5.6640625" bestFit="1" customWidth="1"/>
    <col min="29" max="29" width="4.77734375" bestFit="1" customWidth="1"/>
    <col min="30" max="31" width="5.6640625" bestFit="1" customWidth="1"/>
    <col min="32" max="32" width="4.77734375" bestFit="1" customWidth="1"/>
    <col min="33" max="236" width="5.6640625" bestFit="1" customWidth="1"/>
  </cols>
  <sheetData>
    <row r="1" spans="1:9" ht="15.6" x14ac:dyDescent="0.3">
      <c r="A1" s="5" t="s">
        <v>42</v>
      </c>
      <c r="B1" s="5"/>
      <c r="E1" s="5" t="s">
        <v>45</v>
      </c>
      <c r="F1" s="5"/>
    </row>
    <row r="3" spans="1:9" x14ac:dyDescent="0.3">
      <c r="A3" s="6" t="s">
        <v>48</v>
      </c>
      <c r="E3" s="6" t="s">
        <v>47</v>
      </c>
      <c r="F3" t="s">
        <v>53</v>
      </c>
    </row>
    <row r="4" spans="1:9" x14ac:dyDescent="0.3">
      <c r="A4" s="11" t="s">
        <v>49</v>
      </c>
      <c r="B4" s="9">
        <v>18300</v>
      </c>
      <c r="E4" s="7" t="s">
        <v>41</v>
      </c>
      <c r="F4" s="8">
        <v>1.9830508474576272</v>
      </c>
      <c r="H4" t="str">
        <f>E4</f>
        <v>Barisal</v>
      </c>
      <c r="I4" s="8">
        <f>F4</f>
        <v>1.9830508474576272</v>
      </c>
    </row>
    <row r="5" spans="1:9" x14ac:dyDescent="0.3">
      <c r="A5" s="11" t="s">
        <v>50</v>
      </c>
      <c r="B5" s="9">
        <v>3619</v>
      </c>
      <c r="E5" s="7" t="s">
        <v>40</v>
      </c>
      <c r="F5" s="8">
        <v>1.9767441860465116</v>
      </c>
      <c r="H5" t="str">
        <f t="shared" ref="H5:H8" si="0">E5</f>
        <v>Chittagong</v>
      </c>
      <c r="I5" s="8">
        <f t="shared" ref="I5:I8" si="1">F5</f>
        <v>1.9767441860465116</v>
      </c>
    </row>
    <row r="6" spans="1:9" x14ac:dyDescent="0.3">
      <c r="A6" s="11" t="s">
        <v>51</v>
      </c>
      <c r="B6" s="9">
        <v>1309</v>
      </c>
      <c r="E6" s="7" t="s">
        <v>12</v>
      </c>
      <c r="F6" s="8">
        <v>2</v>
      </c>
      <c r="H6" t="str">
        <f t="shared" si="0"/>
        <v>Dhaka</v>
      </c>
      <c r="I6" s="8">
        <f t="shared" si="1"/>
        <v>2</v>
      </c>
    </row>
    <row r="7" spans="1:9" x14ac:dyDescent="0.3">
      <c r="A7" s="11" t="s">
        <v>52</v>
      </c>
      <c r="B7" s="10">
        <v>706194.88999999966</v>
      </c>
      <c r="E7" s="7" t="s">
        <v>36</v>
      </c>
      <c r="F7" s="8">
        <v>1.9787234042553192</v>
      </c>
      <c r="H7" t="str">
        <f t="shared" si="0"/>
        <v>Rangpur</v>
      </c>
      <c r="I7" s="8">
        <f t="shared" si="1"/>
        <v>1.9787234042553192</v>
      </c>
    </row>
    <row r="8" spans="1:9" x14ac:dyDescent="0.3">
      <c r="E8" s="7" t="s">
        <v>39</v>
      </c>
      <c r="F8" s="8">
        <v>1.9545454545454546</v>
      </c>
      <c r="H8" t="str">
        <f t="shared" si="0"/>
        <v>Sylhet</v>
      </c>
      <c r="I8" s="8">
        <f t="shared" si="1"/>
        <v>1.9545454545454546</v>
      </c>
    </row>
    <row r="11" spans="1:9" ht="15.6" x14ac:dyDescent="0.3">
      <c r="A11" s="5" t="s">
        <v>43</v>
      </c>
      <c r="B11" s="3"/>
      <c r="E11" s="5" t="s">
        <v>44</v>
      </c>
      <c r="F11" s="5"/>
    </row>
    <row r="13" spans="1:9" x14ac:dyDescent="0.3">
      <c r="A13" s="6" t="s">
        <v>47</v>
      </c>
      <c r="B13" t="s">
        <v>46</v>
      </c>
      <c r="E13" s="6" t="s">
        <v>0</v>
      </c>
      <c r="F13" t="s">
        <v>68</v>
      </c>
      <c r="G13" t="s">
        <v>69</v>
      </c>
      <c r="H13" t="s">
        <v>70</v>
      </c>
      <c r="I13" t="s">
        <v>46</v>
      </c>
    </row>
    <row r="14" spans="1:9" x14ac:dyDescent="0.3">
      <c r="A14" s="7" t="s">
        <v>54</v>
      </c>
      <c r="B14" s="8">
        <v>57863.17</v>
      </c>
      <c r="E14" t="s">
        <v>27</v>
      </c>
      <c r="F14" s="8">
        <v>1119</v>
      </c>
      <c r="G14" s="8">
        <v>61</v>
      </c>
      <c r="H14" s="8">
        <v>40</v>
      </c>
      <c r="I14" s="8">
        <v>14672.969999999998</v>
      </c>
    </row>
    <row r="15" spans="1:9" x14ac:dyDescent="0.3">
      <c r="A15" s="7" t="s">
        <v>55</v>
      </c>
      <c r="B15" s="8">
        <v>59230.42</v>
      </c>
      <c r="E15" t="s">
        <v>13</v>
      </c>
      <c r="F15" s="8">
        <v>907</v>
      </c>
      <c r="G15" s="8">
        <v>141</v>
      </c>
      <c r="H15" s="8">
        <v>53</v>
      </c>
      <c r="I15" s="8">
        <v>45196.26</v>
      </c>
    </row>
    <row r="16" spans="1:9" x14ac:dyDescent="0.3">
      <c r="A16" s="7" t="s">
        <v>56</v>
      </c>
      <c r="B16" s="8">
        <v>60127</v>
      </c>
      <c r="E16" t="s">
        <v>17</v>
      </c>
      <c r="F16" s="8">
        <v>731</v>
      </c>
      <c r="G16" s="8">
        <v>79</v>
      </c>
      <c r="H16" s="8">
        <v>31</v>
      </c>
      <c r="I16" s="8">
        <v>43859.520000000004</v>
      </c>
    </row>
    <row r="17" spans="1:9" x14ac:dyDescent="0.3">
      <c r="A17" s="7" t="s">
        <v>57</v>
      </c>
      <c r="B17" s="8">
        <v>58604.41</v>
      </c>
      <c r="E17" t="s">
        <v>19</v>
      </c>
      <c r="F17" s="8">
        <v>660</v>
      </c>
      <c r="G17" s="8">
        <v>92</v>
      </c>
      <c r="H17" s="8">
        <v>71</v>
      </c>
      <c r="I17" s="8">
        <v>49072.98</v>
      </c>
    </row>
    <row r="18" spans="1:9" x14ac:dyDescent="0.3">
      <c r="A18" s="7" t="s">
        <v>58</v>
      </c>
      <c r="B18" s="8">
        <v>58564.01999999999</v>
      </c>
      <c r="E18" t="s">
        <v>21</v>
      </c>
      <c r="F18" s="8">
        <v>806</v>
      </c>
      <c r="G18" s="8">
        <v>184</v>
      </c>
      <c r="H18" s="8">
        <v>100</v>
      </c>
      <c r="I18" s="8">
        <v>12040.489999999998</v>
      </c>
    </row>
    <row r="19" spans="1:9" x14ac:dyDescent="0.3">
      <c r="A19" s="7" t="s">
        <v>59</v>
      </c>
      <c r="B19" s="8">
        <v>58260.729999999996</v>
      </c>
      <c r="E19" t="s">
        <v>35</v>
      </c>
      <c r="F19" s="8">
        <v>1180</v>
      </c>
      <c r="G19" s="8">
        <v>173</v>
      </c>
      <c r="H19" s="8">
        <v>4</v>
      </c>
      <c r="I19" s="8">
        <v>34781.939999999995</v>
      </c>
    </row>
    <row r="20" spans="1:9" x14ac:dyDescent="0.3">
      <c r="A20" s="7" t="s">
        <v>60</v>
      </c>
      <c r="B20" s="8">
        <v>58845.83</v>
      </c>
      <c r="E20" t="s">
        <v>29</v>
      </c>
      <c r="F20" s="8">
        <v>288</v>
      </c>
      <c r="G20" s="8">
        <v>180</v>
      </c>
      <c r="H20" s="8">
        <v>81</v>
      </c>
      <c r="I20" s="8">
        <v>44979.729999999996</v>
      </c>
    </row>
    <row r="21" spans="1:9" x14ac:dyDescent="0.3">
      <c r="A21" s="7" t="s">
        <v>61</v>
      </c>
      <c r="B21" s="8">
        <v>58668.120000000017</v>
      </c>
      <c r="E21" t="s">
        <v>37</v>
      </c>
      <c r="F21" s="8">
        <v>407</v>
      </c>
      <c r="G21" s="8">
        <v>130</v>
      </c>
      <c r="H21" s="8">
        <v>52</v>
      </c>
      <c r="I21" s="8">
        <v>2829.58</v>
      </c>
    </row>
    <row r="22" spans="1:9" x14ac:dyDescent="0.3">
      <c r="A22" s="7" t="s">
        <v>62</v>
      </c>
      <c r="B22" s="8">
        <v>59025.210000000006</v>
      </c>
      <c r="E22" t="s">
        <v>14</v>
      </c>
      <c r="F22" s="8">
        <v>617</v>
      </c>
      <c r="G22" s="8">
        <v>177</v>
      </c>
      <c r="H22" s="8">
        <v>28</v>
      </c>
      <c r="I22" s="8">
        <v>42137.53</v>
      </c>
    </row>
    <row r="23" spans="1:9" x14ac:dyDescent="0.3">
      <c r="A23" s="7" t="s">
        <v>63</v>
      </c>
      <c r="B23" s="8">
        <v>58653.95</v>
      </c>
      <c r="E23" t="s">
        <v>33</v>
      </c>
      <c r="F23" s="8">
        <v>1151</v>
      </c>
      <c r="G23" s="8">
        <v>69</v>
      </c>
      <c r="H23" s="8">
        <v>18</v>
      </c>
      <c r="I23" s="8">
        <v>41544.150000000009</v>
      </c>
    </row>
    <row r="24" spans="1:9" x14ac:dyDescent="0.3">
      <c r="A24" s="7" t="s">
        <v>64</v>
      </c>
      <c r="B24" s="8">
        <v>59136.610000000008</v>
      </c>
      <c r="E24" t="s">
        <v>11</v>
      </c>
      <c r="F24" s="8">
        <v>783</v>
      </c>
      <c r="G24" s="8">
        <v>181</v>
      </c>
      <c r="H24" s="8">
        <v>77</v>
      </c>
      <c r="I24" s="8">
        <v>49041</v>
      </c>
    </row>
    <row r="25" spans="1:9" x14ac:dyDescent="0.3">
      <c r="A25" s="7" t="s">
        <v>65</v>
      </c>
      <c r="B25" s="8">
        <v>59215.419999999984</v>
      </c>
      <c r="E25" t="s">
        <v>32</v>
      </c>
      <c r="F25" s="8">
        <v>246</v>
      </c>
      <c r="G25" s="8">
        <v>172</v>
      </c>
      <c r="H25" s="8">
        <v>17</v>
      </c>
      <c r="I25" s="8">
        <v>18659.18</v>
      </c>
    </row>
    <row r="26" spans="1:9" x14ac:dyDescent="0.3">
      <c r="E26" t="s">
        <v>25</v>
      </c>
      <c r="F26" s="8">
        <v>379</v>
      </c>
      <c r="G26" s="8">
        <v>87</v>
      </c>
      <c r="H26" s="8">
        <v>18</v>
      </c>
      <c r="I26" s="8">
        <v>45591.429999999993</v>
      </c>
    </row>
    <row r="27" spans="1:9" x14ac:dyDescent="0.3">
      <c r="E27" t="s">
        <v>15</v>
      </c>
      <c r="F27" s="8">
        <v>241</v>
      </c>
      <c r="G27" s="8">
        <v>80</v>
      </c>
      <c r="H27" s="8">
        <v>40</v>
      </c>
      <c r="I27" s="8">
        <v>18368.47</v>
      </c>
    </row>
    <row r="28" spans="1:9" x14ac:dyDescent="0.3">
      <c r="E28" t="s">
        <v>22</v>
      </c>
      <c r="F28" s="8">
        <v>226</v>
      </c>
      <c r="G28" s="8">
        <v>91</v>
      </c>
      <c r="H28" s="8">
        <v>73</v>
      </c>
      <c r="I28" s="8">
        <v>9402.9399999999987</v>
      </c>
    </row>
    <row r="29" spans="1:9" x14ac:dyDescent="0.3">
      <c r="E29" t="s">
        <v>34</v>
      </c>
      <c r="F29" s="8">
        <v>848</v>
      </c>
      <c r="G29" s="8">
        <v>99</v>
      </c>
      <c r="H29" s="8">
        <v>84</v>
      </c>
      <c r="I29" s="8">
        <v>6133.4100000000008</v>
      </c>
    </row>
    <row r="30" spans="1:9" x14ac:dyDescent="0.3">
      <c r="E30" t="s">
        <v>28</v>
      </c>
      <c r="F30" s="8">
        <v>1023</v>
      </c>
      <c r="G30" s="8">
        <v>76</v>
      </c>
      <c r="H30" s="8">
        <v>64</v>
      </c>
      <c r="I30" s="8">
        <v>45365.2</v>
      </c>
    </row>
    <row r="31" spans="1:9" x14ac:dyDescent="0.3">
      <c r="E31" t="s">
        <v>16</v>
      </c>
      <c r="F31" s="8">
        <v>977</v>
      </c>
      <c r="G31" s="8">
        <v>166</v>
      </c>
      <c r="H31" s="8">
        <v>55</v>
      </c>
      <c r="I31" s="8">
        <v>12143.710000000001</v>
      </c>
    </row>
    <row r="32" spans="1:9" x14ac:dyDescent="0.3">
      <c r="E32" t="s">
        <v>26</v>
      </c>
      <c r="F32" s="8">
        <v>747</v>
      </c>
      <c r="G32" s="8">
        <v>97</v>
      </c>
      <c r="H32" s="8">
        <v>31</v>
      </c>
      <c r="I32" s="8">
        <v>7844.18</v>
      </c>
    </row>
    <row r="33" spans="5:9" x14ac:dyDescent="0.3">
      <c r="E33" t="s">
        <v>38</v>
      </c>
      <c r="F33" s="8">
        <v>453</v>
      </c>
      <c r="G33" s="8">
        <v>184</v>
      </c>
      <c r="H33" s="8">
        <v>92</v>
      </c>
      <c r="I33" s="8">
        <v>50524.4</v>
      </c>
    </row>
    <row r="34" spans="5:9" x14ac:dyDescent="0.3">
      <c r="E34" t="s">
        <v>20</v>
      </c>
      <c r="F34" s="8">
        <v>367</v>
      </c>
      <c r="G34" s="8">
        <v>217</v>
      </c>
      <c r="H34" s="8">
        <v>103</v>
      </c>
      <c r="I34" s="8">
        <v>14209.390000000001</v>
      </c>
    </row>
    <row r="35" spans="5:9" x14ac:dyDescent="0.3">
      <c r="E35" t="s">
        <v>24</v>
      </c>
      <c r="F35" s="8">
        <v>882</v>
      </c>
      <c r="G35" s="8">
        <v>225</v>
      </c>
      <c r="H35" s="8">
        <v>30</v>
      </c>
      <c r="I35" s="8">
        <v>4278.2</v>
      </c>
    </row>
    <row r="36" spans="5:9" x14ac:dyDescent="0.3">
      <c r="E36" t="s">
        <v>23</v>
      </c>
      <c r="F36" s="8">
        <v>420</v>
      </c>
      <c r="G36" s="8">
        <v>74</v>
      </c>
      <c r="H36" s="8">
        <v>59</v>
      </c>
      <c r="I36" s="8">
        <v>44146.13</v>
      </c>
    </row>
    <row r="37" spans="5:9" x14ac:dyDescent="0.3">
      <c r="E37" t="s">
        <v>18</v>
      </c>
      <c r="F37" s="8">
        <v>924</v>
      </c>
      <c r="G37" s="8">
        <v>218</v>
      </c>
      <c r="H37" s="8">
        <v>30</v>
      </c>
      <c r="I37" s="8">
        <v>29842.950000000004</v>
      </c>
    </row>
    <row r="38" spans="5:9" x14ac:dyDescent="0.3">
      <c r="E38" t="s">
        <v>31</v>
      </c>
      <c r="F38" s="8">
        <v>831</v>
      </c>
      <c r="G38" s="8">
        <v>154</v>
      </c>
      <c r="H38" s="8">
        <v>4</v>
      </c>
      <c r="I38" s="8">
        <v>14526.439999999999</v>
      </c>
    </row>
    <row r="39" spans="5:9" x14ac:dyDescent="0.3">
      <c r="E39" t="s">
        <v>30</v>
      </c>
      <c r="F39" s="8">
        <v>1087</v>
      </c>
      <c r="G39" s="8">
        <v>212</v>
      </c>
      <c r="H39" s="8">
        <v>54</v>
      </c>
      <c r="I39" s="8">
        <v>5002.7100000000009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5E98D-AF1F-40B1-8C0B-7D5363518027}">
  <dimension ref="A1:K313"/>
  <sheetViews>
    <sheetView workbookViewId="0"/>
  </sheetViews>
  <sheetFormatPr defaultRowHeight="14.4" x14ac:dyDescent="0.3"/>
  <cols>
    <col min="4" max="4" width="11.33203125" customWidth="1"/>
    <col min="5" max="5" width="14.33203125" customWidth="1"/>
    <col min="6" max="6" width="22" customWidth="1"/>
    <col min="7" max="7" width="13.33203125" customWidth="1"/>
    <col min="8" max="8" width="23.21875" customWidth="1"/>
    <col min="9" max="9" width="14.5546875" customWidth="1"/>
    <col min="10" max="10" width="13.6640625" customWidth="1"/>
    <col min="11" max="11" width="17.88671875" customWidth="1"/>
  </cols>
  <sheetData>
    <row r="1" spans="1:11" x14ac:dyDescent="0.3">
      <c r="A1" t="s">
        <v>0</v>
      </c>
      <c r="B1" t="s">
        <v>1</v>
      </c>
      <c r="C1" s="1" t="s">
        <v>2</v>
      </c>
      <c r="D1" t="s">
        <v>3</v>
      </c>
      <c r="E1" t="s">
        <v>4</v>
      </c>
      <c r="F1" t="s">
        <v>5</v>
      </c>
      <c r="G1" t="s">
        <v>6</v>
      </c>
      <c r="H1" s="2" t="s">
        <v>7</v>
      </c>
      <c r="I1" t="s">
        <v>8</v>
      </c>
      <c r="J1" t="s">
        <v>9</v>
      </c>
      <c r="K1" t="s">
        <v>10</v>
      </c>
    </row>
    <row r="2" spans="1:11" x14ac:dyDescent="0.3">
      <c r="A2" t="s">
        <v>11</v>
      </c>
      <c r="B2" t="s">
        <v>12</v>
      </c>
      <c r="C2" s="1">
        <v>45292</v>
      </c>
      <c r="D2">
        <v>74</v>
      </c>
      <c r="E2">
        <v>12</v>
      </c>
      <c r="F2">
        <v>330.42</v>
      </c>
      <c r="G2">
        <v>7</v>
      </c>
      <c r="H2" s="2">
        <v>0.58333333333333337</v>
      </c>
      <c r="I2">
        <v>4276.3100000000004</v>
      </c>
      <c r="J2">
        <v>3</v>
      </c>
      <c r="K2" s="2">
        <v>2.9500000000000002E-2</v>
      </c>
    </row>
    <row r="3" spans="1:11" x14ac:dyDescent="0.3">
      <c r="A3" t="s">
        <v>13</v>
      </c>
      <c r="B3" t="s">
        <v>12</v>
      </c>
      <c r="C3" s="1">
        <v>45292</v>
      </c>
      <c r="D3">
        <v>78</v>
      </c>
      <c r="E3">
        <v>12</v>
      </c>
      <c r="F3">
        <v>377.5</v>
      </c>
      <c r="G3">
        <v>4</v>
      </c>
      <c r="H3" s="2">
        <v>0.33333333333333331</v>
      </c>
      <c r="I3">
        <v>3880.98</v>
      </c>
      <c r="J3">
        <v>2</v>
      </c>
      <c r="K3" s="2">
        <v>4.3400000000000001E-2</v>
      </c>
    </row>
    <row r="4" spans="1:11" x14ac:dyDescent="0.3">
      <c r="A4" t="s">
        <v>14</v>
      </c>
      <c r="B4" t="s">
        <v>12</v>
      </c>
      <c r="C4" s="1">
        <v>45292</v>
      </c>
      <c r="D4">
        <v>47</v>
      </c>
      <c r="E4">
        <v>14</v>
      </c>
      <c r="F4">
        <v>418.92</v>
      </c>
      <c r="G4">
        <v>2</v>
      </c>
      <c r="H4" s="2">
        <v>0.14285714285714285</v>
      </c>
      <c r="I4">
        <v>3716</v>
      </c>
      <c r="J4">
        <v>1</v>
      </c>
      <c r="K4" s="2">
        <v>4.3899999999999995E-2</v>
      </c>
    </row>
    <row r="5" spans="1:11" x14ac:dyDescent="0.3">
      <c r="A5" t="s">
        <v>15</v>
      </c>
      <c r="B5" t="s">
        <v>12</v>
      </c>
      <c r="C5" s="1">
        <v>45292</v>
      </c>
      <c r="D5">
        <v>24</v>
      </c>
      <c r="E5">
        <v>6</v>
      </c>
      <c r="F5">
        <v>76.930000000000007</v>
      </c>
      <c r="G5">
        <v>4</v>
      </c>
      <c r="H5" s="2">
        <v>0.66666666666666663</v>
      </c>
      <c r="I5">
        <v>1552.35</v>
      </c>
      <c r="J5">
        <v>3</v>
      </c>
      <c r="K5" s="2">
        <v>3.0800000000000001E-2</v>
      </c>
    </row>
    <row r="6" spans="1:11" x14ac:dyDescent="0.3">
      <c r="A6" t="s">
        <v>16</v>
      </c>
      <c r="B6" t="s">
        <v>12</v>
      </c>
      <c r="C6" s="1">
        <v>45292</v>
      </c>
      <c r="D6">
        <v>81</v>
      </c>
      <c r="E6">
        <v>16</v>
      </c>
      <c r="F6">
        <v>516.23</v>
      </c>
      <c r="G6">
        <v>5</v>
      </c>
      <c r="H6" s="2">
        <v>0.3125</v>
      </c>
      <c r="I6">
        <v>1030.68</v>
      </c>
      <c r="J6">
        <v>2</v>
      </c>
      <c r="K6" s="2">
        <v>4.1100000000000005E-2</v>
      </c>
    </row>
    <row r="7" spans="1:11" x14ac:dyDescent="0.3">
      <c r="A7" t="s">
        <v>17</v>
      </c>
      <c r="B7" t="s">
        <v>12</v>
      </c>
      <c r="C7" s="1">
        <v>45292</v>
      </c>
      <c r="D7">
        <v>59</v>
      </c>
      <c r="E7">
        <v>5</v>
      </c>
      <c r="F7">
        <v>520.05999999999995</v>
      </c>
      <c r="G7">
        <v>3</v>
      </c>
      <c r="H7" s="2">
        <v>0.6</v>
      </c>
      <c r="I7">
        <v>3546.72</v>
      </c>
      <c r="J7">
        <v>1</v>
      </c>
      <c r="K7" s="2">
        <v>1.2699999999999999E-2</v>
      </c>
    </row>
    <row r="8" spans="1:11" x14ac:dyDescent="0.3">
      <c r="A8" t="s">
        <v>18</v>
      </c>
      <c r="B8" t="s">
        <v>12</v>
      </c>
      <c r="C8" s="1">
        <v>45292</v>
      </c>
      <c r="D8">
        <v>68</v>
      </c>
      <c r="E8">
        <v>19</v>
      </c>
      <c r="F8">
        <v>290.39</v>
      </c>
      <c r="G8">
        <v>3</v>
      </c>
      <c r="H8" s="2">
        <v>0.15789473684210525</v>
      </c>
      <c r="I8">
        <v>2472.2399999999998</v>
      </c>
      <c r="J8">
        <v>3</v>
      </c>
      <c r="K8" s="2">
        <v>9.5399999999999985E-2</v>
      </c>
    </row>
    <row r="9" spans="1:11" x14ac:dyDescent="0.3">
      <c r="A9" t="s">
        <v>19</v>
      </c>
      <c r="B9" t="s">
        <v>12</v>
      </c>
      <c r="C9" s="1">
        <v>45292</v>
      </c>
      <c r="D9">
        <v>60</v>
      </c>
      <c r="E9">
        <v>7</v>
      </c>
      <c r="F9">
        <v>251.7</v>
      </c>
      <c r="G9">
        <v>5</v>
      </c>
      <c r="H9" s="2">
        <v>0.7142857142857143</v>
      </c>
      <c r="I9">
        <v>3956.69</v>
      </c>
      <c r="J9">
        <v>2</v>
      </c>
      <c r="K9" s="2">
        <v>4.1100000000000005E-2</v>
      </c>
    </row>
    <row r="10" spans="1:11" x14ac:dyDescent="0.3">
      <c r="A10" t="s">
        <v>20</v>
      </c>
      <c r="B10" t="s">
        <v>12</v>
      </c>
      <c r="C10" s="1">
        <v>45292</v>
      </c>
      <c r="D10">
        <v>34</v>
      </c>
      <c r="E10">
        <v>21</v>
      </c>
      <c r="F10">
        <v>362.62</v>
      </c>
      <c r="G10">
        <v>9</v>
      </c>
      <c r="H10" s="2">
        <v>0.42857142857142855</v>
      </c>
      <c r="I10">
        <v>1140.08</v>
      </c>
      <c r="J10">
        <v>1</v>
      </c>
      <c r="K10" s="2">
        <v>5.4600000000000003E-2</v>
      </c>
    </row>
    <row r="11" spans="1:11" x14ac:dyDescent="0.3">
      <c r="A11" t="s">
        <v>21</v>
      </c>
      <c r="B11" t="s">
        <v>12</v>
      </c>
      <c r="C11" s="1">
        <v>45292</v>
      </c>
      <c r="D11">
        <v>59</v>
      </c>
      <c r="E11">
        <v>13</v>
      </c>
      <c r="F11">
        <v>307.49</v>
      </c>
      <c r="G11">
        <v>10</v>
      </c>
      <c r="H11" s="2">
        <v>0.76923076923076927</v>
      </c>
      <c r="I11">
        <v>979.09</v>
      </c>
      <c r="J11">
        <v>3</v>
      </c>
      <c r="K11" s="2">
        <v>3.27E-2</v>
      </c>
    </row>
    <row r="12" spans="1:11" x14ac:dyDescent="0.3">
      <c r="A12" t="s">
        <v>22</v>
      </c>
      <c r="B12" t="s">
        <v>12</v>
      </c>
      <c r="C12" s="1">
        <v>45292</v>
      </c>
      <c r="D12">
        <v>18</v>
      </c>
      <c r="E12">
        <v>8</v>
      </c>
      <c r="F12">
        <v>206.81</v>
      </c>
      <c r="G12">
        <v>7</v>
      </c>
      <c r="H12" s="2">
        <v>0.875</v>
      </c>
      <c r="I12">
        <v>720.56</v>
      </c>
      <c r="J12">
        <v>2</v>
      </c>
      <c r="K12" s="2">
        <v>7.8899999999999998E-2</v>
      </c>
    </row>
    <row r="13" spans="1:11" x14ac:dyDescent="0.3">
      <c r="A13" t="s">
        <v>23</v>
      </c>
      <c r="B13" t="s">
        <v>12</v>
      </c>
      <c r="C13" s="1">
        <v>45292</v>
      </c>
      <c r="D13">
        <v>36</v>
      </c>
      <c r="E13">
        <v>6</v>
      </c>
      <c r="F13">
        <v>547.6</v>
      </c>
      <c r="G13">
        <v>5</v>
      </c>
      <c r="H13" s="2">
        <v>0.83333333333333337</v>
      </c>
      <c r="I13">
        <v>3463.18</v>
      </c>
      <c r="J13">
        <v>1</v>
      </c>
      <c r="K13" s="2">
        <v>3.7599999999999995E-2</v>
      </c>
    </row>
    <row r="14" spans="1:11" x14ac:dyDescent="0.3">
      <c r="A14" t="s">
        <v>24</v>
      </c>
      <c r="B14" t="s">
        <v>12</v>
      </c>
      <c r="C14" s="1">
        <v>45292</v>
      </c>
      <c r="D14">
        <v>67</v>
      </c>
      <c r="E14">
        <v>17</v>
      </c>
      <c r="F14">
        <v>552.54999999999995</v>
      </c>
      <c r="G14">
        <v>2</v>
      </c>
      <c r="H14" s="2">
        <v>0.11764705882352941</v>
      </c>
      <c r="I14">
        <v>330.12</v>
      </c>
      <c r="J14">
        <v>1</v>
      </c>
      <c r="K14" s="2">
        <v>3.7200000000000004E-2</v>
      </c>
    </row>
    <row r="15" spans="1:11" x14ac:dyDescent="0.3">
      <c r="A15" t="s">
        <v>25</v>
      </c>
      <c r="B15" t="s">
        <v>12</v>
      </c>
      <c r="C15" s="1">
        <v>45292</v>
      </c>
      <c r="D15">
        <v>36</v>
      </c>
      <c r="E15">
        <v>9</v>
      </c>
      <c r="F15">
        <v>216.03</v>
      </c>
      <c r="G15">
        <v>2</v>
      </c>
      <c r="H15" s="2">
        <v>0.22222222222222221</v>
      </c>
      <c r="I15">
        <v>4072.07</v>
      </c>
      <c r="J15">
        <v>3</v>
      </c>
      <c r="K15" s="2">
        <v>4.1200000000000001E-2</v>
      </c>
    </row>
    <row r="16" spans="1:11" x14ac:dyDescent="0.3">
      <c r="A16" t="s">
        <v>26</v>
      </c>
      <c r="B16" t="s">
        <v>12</v>
      </c>
      <c r="C16" s="1">
        <v>45292</v>
      </c>
      <c r="D16">
        <v>54</v>
      </c>
      <c r="E16">
        <v>10</v>
      </c>
      <c r="F16">
        <v>208.23</v>
      </c>
      <c r="G16">
        <v>3</v>
      </c>
      <c r="H16" s="2">
        <v>0.3</v>
      </c>
      <c r="I16">
        <v>645.83000000000004</v>
      </c>
      <c r="J16">
        <v>2</v>
      </c>
      <c r="K16" s="2">
        <v>2.7999999999999997E-2</v>
      </c>
    </row>
    <row r="17" spans="1:11" x14ac:dyDescent="0.3">
      <c r="A17" t="s">
        <v>27</v>
      </c>
      <c r="B17" t="s">
        <v>12</v>
      </c>
      <c r="C17" s="1">
        <v>45292</v>
      </c>
      <c r="D17">
        <v>82</v>
      </c>
      <c r="E17">
        <v>4</v>
      </c>
      <c r="F17">
        <v>180.06</v>
      </c>
      <c r="G17">
        <v>4</v>
      </c>
      <c r="H17" s="2">
        <v>1</v>
      </c>
      <c r="I17">
        <v>1207.17</v>
      </c>
      <c r="J17">
        <v>1</v>
      </c>
      <c r="K17" s="2">
        <v>8.4199999999999997E-2</v>
      </c>
    </row>
    <row r="18" spans="1:11" x14ac:dyDescent="0.3">
      <c r="A18" t="s">
        <v>28</v>
      </c>
      <c r="B18" t="s">
        <v>12</v>
      </c>
      <c r="C18" s="1">
        <v>45292</v>
      </c>
      <c r="D18">
        <v>81</v>
      </c>
      <c r="E18">
        <v>7</v>
      </c>
      <c r="F18">
        <v>82.43</v>
      </c>
      <c r="G18">
        <v>7</v>
      </c>
      <c r="H18" s="2">
        <v>1</v>
      </c>
      <c r="I18">
        <v>3463.96</v>
      </c>
      <c r="J18">
        <v>3</v>
      </c>
      <c r="K18" s="2">
        <v>8.4900000000000003E-2</v>
      </c>
    </row>
    <row r="19" spans="1:11" x14ac:dyDescent="0.3">
      <c r="A19" t="s">
        <v>29</v>
      </c>
      <c r="B19" t="s">
        <v>12</v>
      </c>
      <c r="C19" s="1">
        <v>45292</v>
      </c>
      <c r="D19">
        <v>31</v>
      </c>
      <c r="E19">
        <v>17</v>
      </c>
      <c r="F19">
        <v>476.95</v>
      </c>
      <c r="G19">
        <v>7</v>
      </c>
      <c r="H19" s="2">
        <v>0.41176470588235292</v>
      </c>
      <c r="I19">
        <v>3945.43</v>
      </c>
      <c r="J19">
        <v>2</v>
      </c>
      <c r="K19" s="2">
        <v>3.6000000000000004E-2</v>
      </c>
    </row>
    <row r="20" spans="1:11" x14ac:dyDescent="0.3">
      <c r="A20" t="s">
        <v>30</v>
      </c>
      <c r="B20" t="s">
        <v>12</v>
      </c>
      <c r="C20" s="1">
        <v>45292</v>
      </c>
      <c r="D20">
        <v>92</v>
      </c>
      <c r="E20">
        <v>20</v>
      </c>
      <c r="F20">
        <v>161.41999999999999</v>
      </c>
      <c r="G20">
        <v>4</v>
      </c>
      <c r="H20" s="2">
        <v>0.2</v>
      </c>
      <c r="I20">
        <v>425.41</v>
      </c>
      <c r="J20">
        <v>1</v>
      </c>
      <c r="K20" s="2">
        <v>0.1045</v>
      </c>
    </row>
    <row r="21" spans="1:11" x14ac:dyDescent="0.3">
      <c r="A21" t="s">
        <v>31</v>
      </c>
      <c r="B21" t="s">
        <v>12</v>
      </c>
      <c r="C21" s="1">
        <v>45292</v>
      </c>
      <c r="D21">
        <v>73</v>
      </c>
      <c r="E21">
        <v>12</v>
      </c>
      <c r="F21">
        <v>507.45</v>
      </c>
      <c r="G21">
        <v>0</v>
      </c>
      <c r="H21" s="2">
        <v>0</v>
      </c>
      <c r="I21">
        <v>1123.8399999999999</v>
      </c>
      <c r="J21">
        <v>3</v>
      </c>
      <c r="K21" s="2">
        <v>8.9999999999999998E-4</v>
      </c>
    </row>
    <row r="22" spans="1:11" x14ac:dyDescent="0.3">
      <c r="A22" t="s">
        <v>32</v>
      </c>
      <c r="B22" t="s">
        <v>12</v>
      </c>
      <c r="C22" s="1">
        <v>45292</v>
      </c>
      <c r="D22">
        <v>25</v>
      </c>
      <c r="E22">
        <v>14</v>
      </c>
      <c r="F22">
        <v>279.95</v>
      </c>
      <c r="G22">
        <v>2</v>
      </c>
      <c r="H22" s="2">
        <v>0.14285714285714285</v>
      </c>
      <c r="I22">
        <v>1432.23</v>
      </c>
      <c r="J22">
        <v>2</v>
      </c>
      <c r="K22" s="2">
        <v>5.1699999999999996E-2</v>
      </c>
    </row>
    <row r="23" spans="1:11" x14ac:dyDescent="0.3">
      <c r="A23" t="s">
        <v>33</v>
      </c>
      <c r="B23" t="s">
        <v>12</v>
      </c>
      <c r="C23" s="1">
        <v>45292</v>
      </c>
      <c r="D23">
        <v>96</v>
      </c>
      <c r="E23">
        <v>6</v>
      </c>
      <c r="F23">
        <v>532.83000000000004</v>
      </c>
      <c r="G23">
        <v>1</v>
      </c>
      <c r="H23" s="2">
        <v>0.16666666666666666</v>
      </c>
      <c r="I23">
        <v>3173.13</v>
      </c>
      <c r="J23">
        <v>1</v>
      </c>
      <c r="K23" s="2">
        <v>2.8300000000000002E-2</v>
      </c>
    </row>
    <row r="24" spans="1:11" x14ac:dyDescent="0.3">
      <c r="A24" t="s">
        <v>34</v>
      </c>
      <c r="B24" t="s">
        <v>12</v>
      </c>
      <c r="C24" s="1">
        <v>45292</v>
      </c>
      <c r="D24">
        <v>63</v>
      </c>
      <c r="E24">
        <v>8</v>
      </c>
      <c r="F24">
        <v>170.49</v>
      </c>
      <c r="G24">
        <v>7</v>
      </c>
      <c r="H24" s="2">
        <v>0.875</v>
      </c>
      <c r="I24">
        <v>526.12</v>
      </c>
      <c r="J24">
        <v>3</v>
      </c>
      <c r="K24" s="2">
        <v>8.3499999999999991E-2</v>
      </c>
    </row>
    <row r="25" spans="1:11" x14ac:dyDescent="0.3">
      <c r="A25" t="s">
        <v>35</v>
      </c>
      <c r="B25" t="s">
        <v>36</v>
      </c>
      <c r="C25" s="1">
        <v>45292</v>
      </c>
      <c r="D25">
        <v>92</v>
      </c>
      <c r="E25">
        <v>13</v>
      </c>
      <c r="F25">
        <v>422.39</v>
      </c>
      <c r="G25">
        <v>1</v>
      </c>
      <c r="H25" s="2">
        <v>7.6923076923076927E-2</v>
      </c>
      <c r="I25">
        <v>2695.84</v>
      </c>
      <c r="J25">
        <v>2</v>
      </c>
      <c r="K25" s="2">
        <v>2.46E-2</v>
      </c>
    </row>
    <row r="26" spans="1:11" x14ac:dyDescent="0.3">
      <c r="A26" t="s">
        <v>37</v>
      </c>
      <c r="B26" t="s">
        <v>36</v>
      </c>
      <c r="C26" s="1">
        <v>45292</v>
      </c>
      <c r="D26">
        <v>38</v>
      </c>
      <c r="E26">
        <v>10</v>
      </c>
      <c r="F26">
        <v>514.25</v>
      </c>
      <c r="G26">
        <v>4</v>
      </c>
      <c r="H26" s="2">
        <v>0.4</v>
      </c>
      <c r="I26">
        <v>243.62</v>
      </c>
      <c r="J26">
        <v>1</v>
      </c>
      <c r="K26" s="2">
        <v>6.4399999999999999E-2</v>
      </c>
    </row>
    <row r="27" spans="1:11" x14ac:dyDescent="0.3">
      <c r="A27" t="s">
        <v>38</v>
      </c>
      <c r="B27" t="s">
        <v>36</v>
      </c>
      <c r="C27" s="1">
        <v>45292</v>
      </c>
      <c r="D27">
        <v>43</v>
      </c>
      <c r="E27">
        <v>15</v>
      </c>
      <c r="F27">
        <v>363.48</v>
      </c>
      <c r="G27">
        <v>7</v>
      </c>
      <c r="H27" s="2">
        <v>0.46666666666666667</v>
      </c>
      <c r="I27">
        <v>3843.52</v>
      </c>
      <c r="J27">
        <v>3</v>
      </c>
      <c r="K27" s="2">
        <v>8.3400000000000002E-2</v>
      </c>
    </row>
    <row r="28" spans="1:11" x14ac:dyDescent="0.3">
      <c r="A28" t="s">
        <v>11</v>
      </c>
      <c r="B28" t="s">
        <v>36</v>
      </c>
      <c r="C28" s="1">
        <v>45323</v>
      </c>
      <c r="D28">
        <v>62</v>
      </c>
      <c r="E28">
        <v>15</v>
      </c>
      <c r="F28">
        <v>361.38</v>
      </c>
      <c r="G28">
        <v>6</v>
      </c>
      <c r="H28" s="2">
        <v>0.4</v>
      </c>
      <c r="I28">
        <v>4195.1400000000003</v>
      </c>
      <c r="J28">
        <v>2</v>
      </c>
      <c r="K28" s="2">
        <v>2.75E-2</v>
      </c>
    </row>
    <row r="29" spans="1:11" x14ac:dyDescent="0.3">
      <c r="A29" t="s">
        <v>13</v>
      </c>
      <c r="B29" t="s">
        <v>36</v>
      </c>
      <c r="C29" s="1">
        <v>45323</v>
      </c>
      <c r="D29">
        <v>81</v>
      </c>
      <c r="E29">
        <v>14</v>
      </c>
      <c r="F29">
        <v>362.96</v>
      </c>
      <c r="G29">
        <v>5</v>
      </c>
      <c r="H29" s="2">
        <v>0.35714285714285715</v>
      </c>
      <c r="I29">
        <v>3620.19</v>
      </c>
      <c r="J29">
        <v>1</v>
      </c>
      <c r="K29" s="2">
        <v>4.0800000000000003E-2</v>
      </c>
    </row>
    <row r="30" spans="1:11" x14ac:dyDescent="0.3">
      <c r="A30" t="s">
        <v>14</v>
      </c>
      <c r="B30" t="s">
        <v>36</v>
      </c>
      <c r="C30" s="1">
        <v>45323</v>
      </c>
      <c r="D30">
        <v>52</v>
      </c>
      <c r="E30">
        <v>14</v>
      </c>
      <c r="F30">
        <v>382.59</v>
      </c>
      <c r="G30">
        <v>3</v>
      </c>
      <c r="H30" s="2">
        <v>0.21428571428571427</v>
      </c>
      <c r="I30">
        <v>3394.39</v>
      </c>
      <c r="J30">
        <v>3</v>
      </c>
      <c r="K30" s="2">
        <v>4.5599999999999995E-2</v>
      </c>
    </row>
    <row r="31" spans="1:11" x14ac:dyDescent="0.3">
      <c r="A31" t="s">
        <v>15</v>
      </c>
      <c r="B31" t="s">
        <v>36</v>
      </c>
      <c r="C31" s="1">
        <v>45323</v>
      </c>
      <c r="D31">
        <v>22</v>
      </c>
      <c r="E31">
        <v>7</v>
      </c>
      <c r="F31">
        <v>79.459999999999994</v>
      </c>
      <c r="G31">
        <v>3</v>
      </c>
      <c r="H31" s="2">
        <v>0.42857142857142855</v>
      </c>
      <c r="I31">
        <v>1638.74</v>
      </c>
      <c r="J31">
        <v>2</v>
      </c>
      <c r="K31" s="2">
        <v>3.04E-2</v>
      </c>
    </row>
    <row r="32" spans="1:11" x14ac:dyDescent="0.3">
      <c r="A32" t="s">
        <v>16</v>
      </c>
      <c r="B32" t="s">
        <v>36</v>
      </c>
      <c r="C32" s="1">
        <v>45323</v>
      </c>
      <c r="D32">
        <v>93</v>
      </c>
      <c r="E32">
        <v>11</v>
      </c>
      <c r="F32">
        <v>446.3</v>
      </c>
      <c r="G32">
        <v>5</v>
      </c>
      <c r="H32" s="2">
        <v>0.45454545454545453</v>
      </c>
      <c r="I32">
        <v>1057.1400000000001</v>
      </c>
      <c r="J32">
        <v>1</v>
      </c>
      <c r="K32" s="2">
        <v>3.6900000000000002E-2</v>
      </c>
    </row>
    <row r="33" spans="1:11" x14ac:dyDescent="0.3">
      <c r="A33" t="s">
        <v>17</v>
      </c>
      <c r="B33" t="s">
        <v>36</v>
      </c>
      <c r="C33" s="1">
        <v>45323</v>
      </c>
      <c r="D33">
        <v>65</v>
      </c>
      <c r="E33">
        <v>7</v>
      </c>
      <c r="F33">
        <v>461.67</v>
      </c>
      <c r="G33">
        <v>2</v>
      </c>
      <c r="H33" s="2">
        <v>0.2857142857142857</v>
      </c>
      <c r="I33">
        <v>3486.23</v>
      </c>
      <c r="J33">
        <v>3</v>
      </c>
      <c r="K33" s="2">
        <v>1.1200000000000002E-2</v>
      </c>
    </row>
    <row r="34" spans="1:11" x14ac:dyDescent="0.3">
      <c r="A34" t="s">
        <v>18</v>
      </c>
      <c r="B34" t="s">
        <v>36</v>
      </c>
      <c r="C34" s="1">
        <v>45323</v>
      </c>
      <c r="D34">
        <v>90</v>
      </c>
      <c r="E34">
        <v>20</v>
      </c>
      <c r="F34">
        <v>328.63</v>
      </c>
      <c r="G34">
        <v>3</v>
      </c>
      <c r="H34" s="2">
        <v>0.15</v>
      </c>
      <c r="I34">
        <v>2662.44</v>
      </c>
      <c r="J34">
        <v>2</v>
      </c>
      <c r="K34" s="2">
        <v>0.10640000000000001</v>
      </c>
    </row>
    <row r="35" spans="1:11" x14ac:dyDescent="0.3">
      <c r="A35" t="s">
        <v>19</v>
      </c>
      <c r="B35" t="s">
        <v>36</v>
      </c>
      <c r="C35" s="1">
        <v>45323</v>
      </c>
      <c r="D35">
        <v>48</v>
      </c>
      <c r="E35">
        <v>7</v>
      </c>
      <c r="F35">
        <v>247.66</v>
      </c>
      <c r="G35">
        <v>6</v>
      </c>
      <c r="H35" s="2">
        <v>0.8571428571428571</v>
      </c>
      <c r="I35">
        <v>4335.84</v>
      </c>
      <c r="J35">
        <v>1</v>
      </c>
      <c r="K35" s="2">
        <v>3.9900000000000005E-2</v>
      </c>
    </row>
    <row r="36" spans="1:11" x14ac:dyDescent="0.3">
      <c r="A36" t="s">
        <v>20</v>
      </c>
      <c r="B36" t="s">
        <v>36</v>
      </c>
      <c r="C36" s="1">
        <v>45323</v>
      </c>
      <c r="D36">
        <v>37</v>
      </c>
      <c r="E36">
        <v>17</v>
      </c>
      <c r="F36">
        <v>378.61</v>
      </c>
      <c r="G36">
        <v>10</v>
      </c>
      <c r="H36" s="2">
        <v>0.58823529411764708</v>
      </c>
      <c r="I36">
        <v>1295.07</v>
      </c>
      <c r="J36">
        <v>3</v>
      </c>
      <c r="K36" s="2">
        <v>5.6299999999999996E-2</v>
      </c>
    </row>
    <row r="37" spans="1:11" x14ac:dyDescent="0.3">
      <c r="A37" t="s">
        <v>21</v>
      </c>
      <c r="B37" t="s">
        <v>36</v>
      </c>
      <c r="C37" s="1">
        <v>45323</v>
      </c>
      <c r="D37">
        <v>68</v>
      </c>
      <c r="E37">
        <v>16</v>
      </c>
      <c r="F37">
        <v>299.58999999999997</v>
      </c>
      <c r="G37">
        <v>9</v>
      </c>
      <c r="H37" s="2">
        <v>0.5625</v>
      </c>
      <c r="I37">
        <v>979.47</v>
      </c>
      <c r="J37">
        <v>2</v>
      </c>
      <c r="K37" s="2">
        <v>3.6900000000000002E-2</v>
      </c>
    </row>
    <row r="38" spans="1:11" x14ac:dyDescent="0.3">
      <c r="A38" t="s">
        <v>22</v>
      </c>
      <c r="B38" t="s">
        <v>36</v>
      </c>
      <c r="C38" s="1">
        <v>45323</v>
      </c>
      <c r="D38">
        <v>20</v>
      </c>
      <c r="E38">
        <v>9</v>
      </c>
      <c r="F38">
        <v>202.4</v>
      </c>
      <c r="G38">
        <v>7</v>
      </c>
      <c r="H38" s="2">
        <v>0.77777777777777779</v>
      </c>
      <c r="I38">
        <v>732.99</v>
      </c>
      <c r="J38">
        <v>1</v>
      </c>
      <c r="K38" s="2">
        <v>7.9000000000000001E-2</v>
      </c>
    </row>
    <row r="39" spans="1:11" x14ac:dyDescent="0.3">
      <c r="A39" t="s">
        <v>23</v>
      </c>
      <c r="B39" t="s">
        <v>36</v>
      </c>
      <c r="C39" s="1">
        <v>45323</v>
      </c>
      <c r="D39">
        <v>35</v>
      </c>
      <c r="E39">
        <v>6</v>
      </c>
      <c r="F39">
        <v>568.38</v>
      </c>
      <c r="G39">
        <v>6</v>
      </c>
      <c r="H39" s="2">
        <v>1</v>
      </c>
      <c r="I39">
        <v>3949.69</v>
      </c>
      <c r="J39">
        <v>1</v>
      </c>
      <c r="K39" s="2">
        <v>3.7499999999999999E-2</v>
      </c>
    </row>
    <row r="40" spans="1:11" x14ac:dyDescent="0.3">
      <c r="A40" t="s">
        <v>24</v>
      </c>
      <c r="B40" t="s">
        <v>36</v>
      </c>
      <c r="C40" s="1">
        <v>45323</v>
      </c>
      <c r="D40">
        <v>68</v>
      </c>
      <c r="E40">
        <v>21</v>
      </c>
      <c r="F40">
        <v>553.08000000000004</v>
      </c>
      <c r="G40">
        <v>3</v>
      </c>
      <c r="H40" s="2">
        <v>0.14285714285714285</v>
      </c>
      <c r="I40">
        <v>360.7</v>
      </c>
      <c r="J40">
        <v>3</v>
      </c>
      <c r="K40" s="2">
        <v>3.3399999999999999E-2</v>
      </c>
    </row>
    <row r="41" spans="1:11" x14ac:dyDescent="0.3">
      <c r="A41" t="s">
        <v>25</v>
      </c>
      <c r="B41" t="s">
        <v>36</v>
      </c>
      <c r="C41" s="1">
        <v>45323</v>
      </c>
      <c r="D41">
        <v>30</v>
      </c>
      <c r="E41">
        <v>8</v>
      </c>
      <c r="F41">
        <v>223.22</v>
      </c>
      <c r="G41">
        <v>2</v>
      </c>
      <c r="H41" s="2">
        <v>0.25</v>
      </c>
      <c r="I41">
        <v>3595.12</v>
      </c>
      <c r="J41">
        <v>2</v>
      </c>
      <c r="K41" s="2">
        <v>4.3400000000000001E-2</v>
      </c>
    </row>
    <row r="42" spans="1:11" x14ac:dyDescent="0.3">
      <c r="A42" t="s">
        <v>26</v>
      </c>
      <c r="B42" t="s">
        <v>36</v>
      </c>
      <c r="C42" s="1">
        <v>45323</v>
      </c>
      <c r="D42">
        <v>69</v>
      </c>
      <c r="E42">
        <v>8</v>
      </c>
      <c r="F42">
        <v>199.93</v>
      </c>
      <c r="G42">
        <v>2</v>
      </c>
      <c r="H42" s="2">
        <v>0.25</v>
      </c>
      <c r="I42">
        <v>610.66</v>
      </c>
      <c r="J42">
        <v>1</v>
      </c>
      <c r="K42" s="2">
        <v>2.8199999999999999E-2</v>
      </c>
    </row>
    <row r="43" spans="1:11" x14ac:dyDescent="0.3">
      <c r="A43" t="s">
        <v>27</v>
      </c>
      <c r="B43" t="s">
        <v>36</v>
      </c>
      <c r="C43" s="1">
        <v>45323</v>
      </c>
      <c r="D43">
        <v>92</v>
      </c>
      <c r="E43">
        <v>6</v>
      </c>
      <c r="F43">
        <v>180.46</v>
      </c>
      <c r="G43">
        <v>5</v>
      </c>
      <c r="H43" s="2">
        <v>0.83333333333333337</v>
      </c>
      <c r="I43">
        <v>1173.27</v>
      </c>
      <c r="J43">
        <v>3</v>
      </c>
      <c r="K43" s="2">
        <v>7.5300000000000006E-2</v>
      </c>
    </row>
    <row r="44" spans="1:11" x14ac:dyDescent="0.3">
      <c r="A44" t="s">
        <v>28</v>
      </c>
      <c r="B44" t="s">
        <v>36</v>
      </c>
      <c r="C44" s="1">
        <v>45323</v>
      </c>
      <c r="D44">
        <v>92</v>
      </c>
      <c r="E44">
        <v>7</v>
      </c>
      <c r="F44">
        <v>80.12</v>
      </c>
      <c r="G44">
        <v>6</v>
      </c>
      <c r="H44" s="2">
        <v>0.8571428571428571</v>
      </c>
      <c r="I44">
        <v>3794.02</v>
      </c>
      <c r="J44">
        <v>2</v>
      </c>
      <c r="K44" s="2">
        <v>9.5000000000000001E-2</v>
      </c>
    </row>
    <row r="45" spans="1:11" x14ac:dyDescent="0.3">
      <c r="A45" t="s">
        <v>29</v>
      </c>
      <c r="B45" t="s">
        <v>36</v>
      </c>
      <c r="C45" s="1">
        <v>45323</v>
      </c>
      <c r="D45">
        <v>21</v>
      </c>
      <c r="E45">
        <v>14</v>
      </c>
      <c r="F45">
        <v>563.79</v>
      </c>
      <c r="G45">
        <v>8</v>
      </c>
      <c r="H45" s="2">
        <v>0.5714285714285714</v>
      </c>
      <c r="I45">
        <v>3616.21</v>
      </c>
      <c r="J45">
        <v>1</v>
      </c>
      <c r="K45" s="2">
        <v>3.61E-2</v>
      </c>
    </row>
    <row r="46" spans="1:11" x14ac:dyDescent="0.3">
      <c r="A46" t="s">
        <v>30</v>
      </c>
      <c r="B46" t="s">
        <v>36</v>
      </c>
      <c r="C46" s="1">
        <v>45323</v>
      </c>
      <c r="D46">
        <v>83</v>
      </c>
      <c r="E46">
        <v>20</v>
      </c>
      <c r="F46">
        <v>193.39</v>
      </c>
      <c r="G46">
        <v>5</v>
      </c>
      <c r="H46" s="2">
        <v>0.25</v>
      </c>
      <c r="I46">
        <v>402.53</v>
      </c>
      <c r="J46">
        <v>3</v>
      </c>
      <c r="K46" s="2">
        <v>0.1013</v>
      </c>
    </row>
    <row r="47" spans="1:11" x14ac:dyDescent="0.3">
      <c r="A47" t="s">
        <v>31</v>
      </c>
      <c r="B47" t="s">
        <v>36</v>
      </c>
      <c r="C47" s="1">
        <v>45323</v>
      </c>
      <c r="D47">
        <v>57</v>
      </c>
      <c r="E47">
        <v>11</v>
      </c>
      <c r="F47">
        <v>454.77</v>
      </c>
      <c r="G47">
        <v>1</v>
      </c>
      <c r="H47" s="2">
        <v>9.0909090909090912E-2</v>
      </c>
      <c r="I47">
        <v>1152.4100000000001</v>
      </c>
      <c r="J47">
        <v>2</v>
      </c>
      <c r="K47" s="2">
        <v>1E-3</v>
      </c>
    </row>
    <row r="48" spans="1:11" x14ac:dyDescent="0.3">
      <c r="A48" t="s">
        <v>32</v>
      </c>
      <c r="B48" t="s">
        <v>36</v>
      </c>
      <c r="C48" s="1">
        <v>45323</v>
      </c>
      <c r="D48">
        <v>22</v>
      </c>
      <c r="E48">
        <v>17</v>
      </c>
      <c r="F48">
        <v>291.97000000000003</v>
      </c>
      <c r="G48">
        <v>1</v>
      </c>
      <c r="H48" s="2">
        <v>5.8823529411764705E-2</v>
      </c>
      <c r="I48">
        <v>1703.6</v>
      </c>
      <c r="J48">
        <v>1</v>
      </c>
      <c r="K48" s="2">
        <v>5.21E-2</v>
      </c>
    </row>
    <row r="49" spans="1:11" x14ac:dyDescent="0.3">
      <c r="A49" t="s">
        <v>33</v>
      </c>
      <c r="B49" t="s">
        <v>36</v>
      </c>
      <c r="C49" s="1">
        <v>45323</v>
      </c>
      <c r="D49">
        <v>78</v>
      </c>
      <c r="E49">
        <v>5</v>
      </c>
      <c r="F49">
        <v>553.86</v>
      </c>
      <c r="G49">
        <v>1</v>
      </c>
      <c r="H49" s="2">
        <v>0.2</v>
      </c>
      <c r="I49">
        <v>3503.57</v>
      </c>
      <c r="J49">
        <v>3</v>
      </c>
      <c r="K49" s="2">
        <v>3.1300000000000001E-2</v>
      </c>
    </row>
    <row r="50" spans="1:11" x14ac:dyDescent="0.3">
      <c r="A50" t="s">
        <v>34</v>
      </c>
      <c r="B50" t="s">
        <v>36</v>
      </c>
      <c r="C50" s="1">
        <v>45323</v>
      </c>
      <c r="D50">
        <v>68</v>
      </c>
      <c r="E50">
        <v>7</v>
      </c>
      <c r="F50">
        <v>171.76</v>
      </c>
      <c r="G50">
        <v>7</v>
      </c>
      <c r="H50" s="2">
        <v>1</v>
      </c>
      <c r="I50">
        <v>548.36</v>
      </c>
      <c r="J50">
        <v>2</v>
      </c>
      <c r="K50" s="2">
        <v>8.2500000000000004E-2</v>
      </c>
    </row>
    <row r="51" spans="1:11" x14ac:dyDescent="0.3">
      <c r="A51" t="s">
        <v>35</v>
      </c>
      <c r="B51" t="s">
        <v>36</v>
      </c>
      <c r="C51" s="1">
        <v>45323</v>
      </c>
      <c r="D51">
        <v>83</v>
      </c>
      <c r="E51">
        <v>16</v>
      </c>
      <c r="F51">
        <v>382.21</v>
      </c>
      <c r="G51">
        <v>1</v>
      </c>
      <c r="H51" s="2">
        <v>6.25E-2</v>
      </c>
      <c r="I51">
        <v>3017.43</v>
      </c>
      <c r="J51">
        <v>3</v>
      </c>
      <c r="K51" s="2">
        <v>2.4199999999999999E-2</v>
      </c>
    </row>
    <row r="52" spans="1:11" x14ac:dyDescent="0.3">
      <c r="A52" t="s">
        <v>37</v>
      </c>
      <c r="B52" t="s">
        <v>36</v>
      </c>
      <c r="C52" s="1">
        <v>45323</v>
      </c>
      <c r="D52">
        <v>31</v>
      </c>
      <c r="E52">
        <v>11</v>
      </c>
      <c r="F52">
        <v>562.73</v>
      </c>
      <c r="G52">
        <v>4</v>
      </c>
      <c r="H52" s="2">
        <v>0.36363636363636365</v>
      </c>
      <c r="I52">
        <v>221.94</v>
      </c>
      <c r="J52">
        <v>2</v>
      </c>
      <c r="K52" s="2">
        <v>6.7400000000000002E-2</v>
      </c>
    </row>
    <row r="53" spans="1:11" x14ac:dyDescent="0.3">
      <c r="A53" t="s">
        <v>38</v>
      </c>
      <c r="B53" t="s">
        <v>36</v>
      </c>
      <c r="C53" s="1">
        <v>45323</v>
      </c>
      <c r="D53">
        <v>34</v>
      </c>
      <c r="E53">
        <v>17</v>
      </c>
      <c r="F53">
        <v>380.37</v>
      </c>
      <c r="G53">
        <v>7</v>
      </c>
      <c r="H53" s="2">
        <v>0.41176470588235292</v>
      </c>
      <c r="I53">
        <v>4183.2700000000004</v>
      </c>
      <c r="J53">
        <v>1</v>
      </c>
      <c r="K53" s="2">
        <v>8.8699999999999987E-2</v>
      </c>
    </row>
    <row r="54" spans="1:11" x14ac:dyDescent="0.3">
      <c r="A54" t="s">
        <v>11</v>
      </c>
      <c r="B54" t="s">
        <v>36</v>
      </c>
      <c r="C54" s="1">
        <v>45352</v>
      </c>
      <c r="D54">
        <v>55</v>
      </c>
      <c r="E54">
        <v>17</v>
      </c>
      <c r="F54">
        <v>315.62</v>
      </c>
      <c r="G54">
        <v>5</v>
      </c>
      <c r="H54" s="2">
        <v>0.29411764705882354</v>
      </c>
      <c r="I54">
        <v>3890.73</v>
      </c>
      <c r="J54">
        <v>3</v>
      </c>
      <c r="K54" s="2">
        <v>2.8799999999999999E-2</v>
      </c>
    </row>
    <row r="55" spans="1:11" x14ac:dyDescent="0.3">
      <c r="A55" t="s">
        <v>13</v>
      </c>
      <c r="B55" t="s">
        <v>36</v>
      </c>
      <c r="C55" s="1">
        <v>45352</v>
      </c>
      <c r="D55">
        <v>91</v>
      </c>
      <c r="E55">
        <v>10</v>
      </c>
      <c r="F55">
        <v>361.58</v>
      </c>
      <c r="G55">
        <v>4</v>
      </c>
      <c r="H55" s="2">
        <v>0.4</v>
      </c>
      <c r="I55">
        <v>3674.37</v>
      </c>
      <c r="J55">
        <v>2</v>
      </c>
      <c r="K55" s="2">
        <v>4.0800000000000003E-2</v>
      </c>
    </row>
    <row r="56" spans="1:11" x14ac:dyDescent="0.3">
      <c r="A56" t="s">
        <v>14</v>
      </c>
      <c r="B56" t="s">
        <v>36</v>
      </c>
      <c r="C56" s="1">
        <v>45352</v>
      </c>
      <c r="D56">
        <v>59</v>
      </c>
      <c r="E56">
        <v>13</v>
      </c>
      <c r="F56">
        <v>402.9</v>
      </c>
      <c r="G56">
        <v>2</v>
      </c>
      <c r="H56" s="2">
        <v>0.15384615384615385</v>
      </c>
      <c r="I56">
        <v>3357.27</v>
      </c>
      <c r="J56">
        <v>1</v>
      </c>
      <c r="K56" s="2">
        <v>4.2599999999999999E-2</v>
      </c>
    </row>
    <row r="57" spans="1:11" x14ac:dyDescent="0.3">
      <c r="A57" t="s">
        <v>15</v>
      </c>
      <c r="B57" t="s">
        <v>36</v>
      </c>
      <c r="C57" s="1">
        <v>45352</v>
      </c>
      <c r="D57">
        <v>19</v>
      </c>
      <c r="E57">
        <v>6</v>
      </c>
      <c r="F57">
        <v>82.65</v>
      </c>
      <c r="G57">
        <v>3</v>
      </c>
      <c r="H57" s="2">
        <v>0.5</v>
      </c>
      <c r="I57">
        <v>1469.62</v>
      </c>
      <c r="J57">
        <v>3</v>
      </c>
      <c r="K57" s="2">
        <v>3.0699999999999998E-2</v>
      </c>
    </row>
    <row r="58" spans="1:11" x14ac:dyDescent="0.3">
      <c r="A58" t="s">
        <v>16</v>
      </c>
      <c r="B58" t="s">
        <v>36</v>
      </c>
      <c r="C58" s="1">
        <v>45352</v>
      </c>
      <c r="D58">
        <v>77</v>
      </c>
      <c r="E58">
        <v>14</v>
      </c>
      <c r="F58">
        <v>494.43</v>
      </c>
      <c r="G58">
        <v>4</v>
      </c>
      <c r="H58" s="2">
        <v>0.2857142857142857</v>
      </c>
      <c r="I58">
        <v>963.35</v>
      </c>
      <c r="J58">
        <v>2</v>
      </c>
      <c r="K58" s="2">
        <v>3.6699999999999997E-2</v>
      </c>
    </row>
    <row r="59" spans="1:11" x14ac:dyDescent="0.3">
      <c r="A59" t="s">
        <v>17</v>
      </c>
      <c r="B59" t="s">
        <v>36</v>
      </c>
      <c r="C59" s="1">
        <v>45352</v>
      </c>
      <c r="D59">
        <v>50</v>
      </c>
      <c r="E59">
        <v>8</v>
      </c>
      <c r="F59">
        <v>512.92999999999995</v>
      </c>
      <c r="G59">
        <v>3</v>
      </c>
      <c r="H59" s="2">
        <v>0.375</v>
      </c>
      <c r="I59">
        <v>3725.66</v>
      </c>
      <c r="J59">
        <v>1</v>
      </c>
      <c r="K59" s="2">
        <v>1.1599999999999999E-2</v>
      </c>
    </row>
    <row r="60" spans="1:11" x14ac:dyDescent="0.3">
      <c r="A60" t="s">
        <v>18</v>
      </c>
      <c r="B60" t="s">
        <v>36</v>
      </c>
      <c r="C60" s="1">
        <v>45352</v>
      </c>
      <c r="D60">
        <v>88</v>
      </c>
      <c r="E60">
        <v>18</v>
      </c>
      <c r="F60">
        <v>291.04000000000002</v>
      </c>
      <c r="G60">
        <v>2</v>
      </c>
      <c r="H60" s="2">
        <v>0.1111111111111111</v>
      </c>
      <c r="I60">
        <v>2619.84</v>
      </c>
      <c r="J60">
        <v>3</v>
      </c>
      <c r="K60" s="2">
        <v>0.10550000000000001</v>
      </c>
    </row>
    <row r="61" spans="1:11" x14ac:dyDescent="0.3">
      <c r="A61" t="s">
        <v>19</v>
      </c>
      <c r="B61" t="s">
        <v>36</v>
      </c>
      <c r="C61" s="1">
        <v>45352</v>
      </c>
      <c r="D61">
        <v>62</v>
      </c>
      <c r="E61">
        <v>9</v>
      </c>
      <c r="F61">
        <v>252.77</v>
      </c>
      <c r="G61">
        <v>7</v>
      </c>
      <c r="H61" s="2">
        <v>0.77777777777777779</v>
      </c>
      <c r="I61">
        <v>4641.6099999999997</v>
      </c>
      <c r="J61">
        <v>2</v>
      </c>
      <c r="K61" s="2">
        <v>4.0800000000000003E-2</v>
      </c>
    </row>
    <row r="62" spans="1:11" x14ac:dyDescent="0.3">
      <c r="A62" t="s">
        <v>20</v>
      </c>
      <c r="B62" t="s">
        <v>36</v>
      </c>
      <c r="C62" s="1">
        <v>45352</v>
      </c>
      <c r="D62">
        <v>33</v>
      </c>
      <c r="E62">
        <v>18</v>
      </c>
      <c r="F62">
        <v>348.57</v>
      </c>
      <c r="G62">
        <v>8</v>
      </c>
      <c r="H62" s="2">
        <v>0.44444444444444442</v>
      </c>
      <c r="I62">
        <v>1169.6400000000001</v>
      </c>
      <c r="J62">
        <v>1</v>
      </c>
      <c r="K62" s="2">
        <v>5.4800000000000001E-2</v>
      </c>
    </row>
    <row r="63" spans="1:11" x14ac:dyDescent="0.3">
      <c r="A63" t="s">
        <v>21</v>
      </c>
      <c r="B63" t="s">
        <v>36</v>
      </c>
      <c r="C63" s="1">
        <v>45352</v>
      </c>
      <c r="D63">
        <v>54</v>
      </c>
      <c r="E63">
        <v>15</v>
      </c>
      <c r="F63">
        <v>321.99</v>
      </c>
      <c r="G63">
        <v>8</v>
      </c>
      <c r="H63" s="2">
        <v>0.53333333333333333</v>
      </c>
      <c r="I63">
        <v>1080.0899999999999</v>
      </c>
      <c r="J63">
        <v>1</v>
      </c>
      <c r="K63" s="2">
        <v>3.5499999999999997E-2</v>
      </c>
    </row>
    <row r="64" spans="1:11" x14ac:dyDescent="0.3">
      <c r="A64" t="s">
        <v>22</v>
      </c>
      <c r="B64" t="s">
        <v>36</v>
      </c>
      <c r="C64" s="1">
        <v>45352</v>
      </c>
      <c r="D64">
        <v>16</v>
      </c>
      <c r="E64">
        <v>9</v>
      </c>
      <c r="F64">
        <v>199.87</v>
      </c>
      <c r="G64">
        <v>9</v>
      </c>
      <c r="H64" s="2">
        <v>1</v>
      </c>
      <c r="I64">
        <v>818.64</v>
      </c>
      <c r="J64">
        <v>3</v>
      </c>
      <c r="K64" s="2">
        <v>7.46E-2</v>
      </c>
    </row>
    <row r="65" spans="1:11" x14ac:dyDescent="0.3">
      <c r="A65" t="s">
        <v>23</v>
      </c>
      <c r="B65" t="s">
        <v>36</v>
      </c>
      <c r="C65" s="1">
        <v>45352</v>
      </c>
      <c r="D65">
        <v>30</v>
      </c>
      <c r="E65">
        <v>5</v>
      </c>
      <c r="F65">
        <v>565.19000000000005</v>
      </c>
      <c r="G65">
        <v>4</v>
      </c>
      <c r="H65" s="2">
        <v>0.8</v>
      </c>
      <c r="I65">
        <v>3621.51</v>
      </c>
      <c r="J65">
        <v>2</v>
      </c>
      <c r="K65" s="2">
        <v>4.3099999999999999E-2</v>
      </c>
    </row>
    <row r="66" spans="1:11" x14ac:dyDescent="0.3">
      <c r="A66" t="s">
        <v>24</v>
      </c>
      <c r="B66" t="s">
        <v>36</v>
      </c>
      <c r="C66" s="1">
        <v>45352</v>
      </c>
      <c r="D66">
        <v>68</v>
      </c>
      <c r="E66">
        <v>19</v>
      </c>
      <c r="F66">
        <v>623.25</v>
      </c>
      <c r="G66">
        <v>3</v>
      </c>
      <c r="H66" s="2">
        <v>0.15789473684210525</v>
      </c>
      <c r="I66">
        <v>355.96</v>
      </c>
      <c r="J66">
        <v>1</v>
      </c>
      <c r="K66" s="2">
        <v>3.6299999999999999E-2</v>
      </c>
    </row>
    <row r="67" spans="1:11" x14ac:dyDescent="0.3">
      <c r="A67" t="s">
        <v>25</v>
      </c>
      <c r="B67" t="s">
        <v>36</v>
      </c>
      <c r="C67" s="1">
        <v>45352</v>
      </c>
      <c r="D67">
        <v>31</v>
      </c>
      <c r="E67">
        <v>9</v>
      </c>
      <c r="F67">
        <v>209.18</v>
      </c>
      <c r="G67">
        <v>2</v>
      </c>
      <c r="H67" s="2">
        <v>0.22222222222222221</v>
      </c>
      <c r="I67">
        <v>4153.3100000000004</v>
      </c>
      <c r="J67">
        <v>3</v>
      </c>
      <c r="K67" s="2">
        <v>4.0399999999999998E-2</v>
      </c>
    </row>
    <row r="68" spans="1:11" x14ac:dyDescent="0.3">
      <c r="A68" t="s">
        <v>26</v>
      </c>
      <c r="B68" t="s">
        <v>36</v>
      </c>
      <c r="C68" s="1">
        <v>45352</v>
      </c>
      <c r="D68">
        <v>61</v>
      </c>
      <c r="E68">
        <v>7</v>
      </c>
      <c r="F68">
        <v>190.5</v>
      </c>
      <c r="G68">
        <v>3</v>
      </c>
      <c r="H68" s="2">
        <v>0.42857142857142855</v>
      </c>
      <c r="I68">
        <v>661.2</v>
      </c>
      <c r="J68">
        <v>2</v>
      </c>
      <c r="K68" s="2">
        <v>2.7699999999999999E-2</v>
      </c>
    </row>
    <row r="69" spans="1:11" x14ac:dyDescent="0.3">
      <c r="A69" t="s">
        <v>27</v>
      </c>
      <c r="B69" t="s">
        <v>36</v>
      </c>
      <c r="C69" s="1">
        <v>45352</v>
      </c>
      <c r="D69">
        <v>83</v>
      </c>
      <c r="E69">
        <v>5</v>
      </c>
      <c r="F69">
        <v>170.12</v>
      </c>
      <c r="G69">
        <v>3</v>
      </c>
      <c r="H69" s="2">
        <v>0.6</v>
      </c>
      <c r="I69">
        <v>1171.95</v>
      </c>
      <c r="J69">
        <v>1</v>
      </c>
      <c r="K69" s="2">
        <v>7.690000000000001E-2</v>
      </c>
    </row>
    <row r="70" spans="1:11" x14ac:dyDescent="0.3">
      <c r="A70" t="s">
        <v>28</v>
      </c>
      <c r="B70" t="s">
        <v>36</v>
      </c>
      <c r="C70" s="1">
        <v>45352</v>
      </c>
      <c r="D70">
        <v>74</v>
      </c>
      <c r="E70">
        <v>7</v>
      </c>
      <c r="F70">
        <v>87.89</v>
      </c>
      <c r="G70">
        <v>7</v>
      </c>
      <c r="H70" s="2">
        <v>1</v>
      </c>
      <c r="I70">
        <v>3848.14</v>
      </c>
      <c r="J70">
        <v>3</v>
      </c>
      <c r="K70" s="2">
        <v>8.6699999999999999E-2</v>
      </c>
    </row>
    <row r="71" spans="1:11" x14ac:dyDescent="0.3">
      <c r="A71" t="s">
        <v>29</v>
      </c>
      <c r="B71" t="s">
        <v>36</v>
      </c>
      <c r="C71" s="1">
        <v>45352</v>
      </c>
      <c r="D71">
        <v>21</v>
      </c>
      <c r="E71">
        <v>14</v>
      </c>
      <c r="F71">
        <v>498.82</v>
      </c>
      <c r="G71">
        <v>5</v>
      </c>
      <c r="H71" s="2">
        <v>0.35714285714285715</v>
      </c>
      <c r="I71">
        <v>4039.26</v>
      </c>
      <c r="J71">
        <v>2</v>
      </c>
      <c r="K71" s="2">
        <v>3.4000000000000002E-2</v>
      </c>
    </row>
    <row r="72" spans="1:11" x14ac:dyDescent="0.3">
      <c r="A72" t="s">
        <v>30</v>
      </c>
      <c r="B72" t="s">
        <v>39</v>
      </c>
      <c r="C72" s="1">
        <v>45352</v>
      </c>
      <c r="D72">
        <v>84</v>
      </c>
      <c r="E72">
        <v>15</v>
      </c>
      <c r="F72">
        <v>163.21</v>
      </c>
      <c r="G72">
        <v>5</v>
      </c>
      <c r="H72" s="2">
        <v>0.33333333333333331</v>
      </c>
      <c r="I72">
        <v>411.36</v>
      </c>
      <c r="J72">
        <v>1</v>
      </c>
      <c r="K72" s="2">
        <v>0.1014</v>
      </c>
    </row>
    <row r="73" spans="1:11" x14ac:dyDescent="0.3">
      <c r="A73" t="s">
        <v>31</v>
      </c>
      <c r="B73" t="s">
        <v>39</v>
      </c>
      <c r="C73" s="1">
        <v>45352</v>
      </c>
      <c r="D73">
        <v>64</v>
      </c>
      <c r="E73">
        <v>13</v>
      </c>
      <c r="F73">
        <v>496.4</v>
      </c>
      <c r="G73">
        <v>0</v>
      </c>
      <c r="H73" s="2">
        <v>0</v>
      </c>
      <c r="I73">
        <v>1306.3800000000001</v>
      </c>
      <c r="J73">
        <v>3</v>
      </c>
      <c r="K73" s="2">
        <v>1.1000000000000001E-3</v>
      </c>
    </row>
    <row r="74" spans="1:11" x14ac:dyDescent="0.3">
      <c r="A74" t="s">
        <v>32</v>
      </c>
      <c r="B74" t="s">
        <v>39</v>
      </c>
      <c r="C74" s="1">
        <v>45352</v>
      </c>
      <c r="D74">
        <v>21</v>
      </c>
      <c r="E74">
        <v>13</v>
      </c>
      <c r="F74">
        <v>315.41000000000003</v>
      </c>
      <c r="G74">
        <v>1</v>
      </c>
      <c r="H74" s="2">
        <v>7.6923076923076927E-2</v>
      </c>
      <c r="I74">
        <v>1692.59</v>
      </c>
      <c r="J74">
        <v>2</v>
      </c>
      <c r="K74" s="2">
        <v>5.0999999999999997E-2</v>
      </c>
    </row>
    <row r="75" spans="1:11" x14ac:dyDescent="0.3">
      <c r="A75" t="s">
        <v>33</v>
      </c>
      <c r="B75" t="s">
        <v>39</v>
      </c>
      <c r="C75" s="1">
        <v>45352</v>
      </c>
      <c r="D75">
        <v>110</v>
      </c>
      <c r="E75">
        <v>6</v>
      </c>
      <c r="F75">
        <v>535.37</v>
      </c>
      <c r="G75">
        <v>2</v>
      </c>
      <c r="H75" s="2">
        <v>0.33333333333333331</v>
      </c>
      <c r="I75">
        <v>3113.29</v>
      </c>
      <c r="J75">
        <v>1</v>
      </c>
      <c r="K75" s="2">
        <v>3.2099999999999997E-2</v>
      </c>
    </row>
    <row r="76" spans="1:11" x14ac:dyDescent="0.3">
      <c r="A76" t="s">
        <v>34</v>
      </c>
      <c r="B76" t="s">
        <v>39</v>
      </c>
      <c r="C76" s="1">
        <v>45352</v>
      </c>
      <c r="D76">
        <v>62</v>
      </c>
      <c r="E76">
        <v>8</v>
      </c>
      <c r="F76">
        <v>198.84</v>
      </c>
      <c r="G76">
        <v>8</v>
      </c>
      <c r="H76" s="2">
        <v>1</v>
      </c>
      <c r="I76">
        <v>534.58000000000004</v>
      </c>
      <c r="J76">
        <v>3</v>
      </c>
      <c r="K76" s="2">
        <v>8.8000000000000009E-2</v>
      </c>
    </row>
    <row r="77" spans="1:11" x14ac:dyDescent="0.3">
      <c r="A77" t="s">
        <v>35</v>
      </c>
      <c r="B77" t="s">
        <v>39</v>
      </c>
      <c r="C77" s="1">
        <v>45352</v>
      </c>
      <c r="D77">
        <v>108</v>
      </c>
      <c r="E77">
        <v>14</v>
      </c>
      <c r="F77">
        <v>416.78</v>
      </c>
      <c r="G77">
        <v>1</v>
      </c>
      <c r="H77" s="2">
        <v>7.1428571428571425E-2</v>
      </c>
      <c r="I77">
        <v>2989.69</v>
      </c>
      <c r="J77">
        <v>2</v>
      </c>
      <c r="K77" s="2">
        <v>2.5499999999999998E-2</v>
      </c>
    </row>
    <row r="78" spans="1:11" x14ac:dyDescent="0.3">
      <c r="A78" t="s">
        <v>37</v>
      </c>
      <c r="B78" t="s">
        <v>39</v>
      </c>
      <c r="C78" s="1">
        <v>45352</v>
      </c>
      <c r="D78">
        <v>28</v>
      </c>
      <c r="E78">
        <v>12</v>
      </c>
      <c r="F78">
        <v>533.85</v>
      </c>
      <c r="G78">
        <v>5</v>
      </c>
      <c r="H78" s="2">
        <v>0.41666666666666669</v>
      </c>
      <c r="I78">
        <v>224.87</v>
      </c>
      <c r="J78">
        <v>1</v>
      </c>
      <c r="K78" s="2">
        <v>6.480000000000001E-2</v>
      </c>
    </row>
    <row r="79" spans="1:11" x14ac:dyDescent="0.3">
      <c r="A79" t="s">
        <v>38</v>
      </c>
      <c r="B79" t="s">
        <v>39</v>
      </c>
      <c r="C79" s="1">
        <v>45352</v>
      </c>
      <c r="D79">
        <v>39</v>
      </c>
      <c r="E79">
        <v>16</v>
      </c>
      <c r="F79">
        <v>312.8</v>
      </c>
      <c r="G79">
        <v>8</v>
      </c>
      <c r="H79" s="2">
        <v>0.5</v>
      </c>
      <c r="I79">
        <v>4592.09</v>
      </c>
      <c r="J79">
        <v>3</v>
      </c>
      <c r="K79" s="2">
        <v>8.5500000000000007E-2</v>
      </c>
    </row>
    <row r="80" spans="1:11" x14ac:dyDescent="0.3">
      <c r="A80" t="s">
        <v>11</v>
      </c>
      <c r="B80" t="s">
        <v>39</v>
      </c>
      <c r="C80" s="1">
        <v>45383</v>
      </c>
      <c r="D80">
        <v>69</v>
      </c>
      <c r="E80">
        <v>17</v>
      </c>
      <c r="F80">
        <v>342.81</v>
      </c>
      <c r="G80">
        <v>6</v>
      </c>
      <c r="H80" s="2">
        <v>0.35294117647058826</v>
      </c>
      <c r="I80">
        <v>3728.2</v>
      </c>
      <c r="J80">
        <v>2</v>
      </c>
      <c r="K80" s="2">
        <v>2.9600000000000001E-2</v>
      </c>
    </row>
    <row r="81" spans="1:11" x14ac:dyDescent="0.3">
      <c r="A81" t="s">
        <v>13</v>
      </c>
      <c r="B81" t="s">
        <v>39</v>
      </c>
      <c r="C81" s="1">
        <v>45383</v>
      </c>
      <c r="D81">
        <v>83</v>
      </c>
      <c r="E81">
        <v>11</v>
      </c>
      <c r="F81">
        <v>365.12</v>
      </c>
      <c r="G81">
        <v>5</v>
      </c>
      <c r="H81" s="2">
        <v>0.45454545454545453</v>
      </c>
      <c r="I81">
        <v>3682.69</v>
      </c>
      <c r="J81">
        <v>1</v>
      </c>
      <c r="K81" s="2">
        <v>3.8199999999999998E-2</v>
      </c>
    </row>
    <row r="82" spans="1:11" x14ac:dyDescent="0.3">
      <c r="A82" t="s">
        <v>14</v>
      </c>
      <c r="B82" t="s">
        <v>39</v>
      </c>
      <c r="C82" s="1">
        <v>45383</v>
      </c>
      <c r="D82">
        <v>41</v>
      </c>
      <c r="E82">
        <v>14</v>
      </c>
      <c r="F82">
        <v>416.88</v>
      </c>
      <c r="G82">
        <v>2</v>
      </c>
      <c r="H82" s="2">
        <v>0.14285714285714285</v>
      </c>
      <c r="I82">
        <v>3638.83</v>
      </c>
      <c r="J82">
        <v>3</v>
      </c>
      <c r="K82" s="2">
        <v>4.41E-2</v>
      </c>
    </row>
    <row r="83" spans="1:11" x14ac:dyDescent="0.3">
      <c r="A83" t="s">
        <v>15</v>
      </c>
      <c r="B83" t="s">
        <v>39</v>
      </c>
      <c r="C83" s="1">
        <v>45383</v>
      </c>
      <c r="D83">
        <v>17</v>
      </c>
      <c r="E83">
        <v>7</v>
      </c>
      <c r="F83">
        <v>81.14</v>
      </c>
      <c r="G83">
        <v>3</v>
      </c>
      <c r="H83" s="2">
        <v>0.42857142857142855</v>
      </c>
      <c r="I83">
        <v>1419.04</v>
      </c>
      <c r="J83">
        <v>2</v>
      </c>
      <c r="K83" s="2">
        <v>2.9399999999999999E-2</v>
      </c>
    </row>
    <row r="84" spans="1:11" x14ac:dyDescent="0.3">
      <c r="A84" t="s">
        <v>16</v>
      </c>
      <c r="B84" t="s">
        <v>39</v>
      </c>
      <c r="C84" s="1">
        <v>45383</v>
      </c>
      <c r="D84">
        <v>76</v>
      </c>
      <c r="E84">
        <v>16</v>
      </c>
      <c r="F84">
        <v>449.04</v>
      </c>
      <c r="G84">
        <v>4</v>
      </c>
      <c r="H84" s="2">
        <v>0.25</v>
      </c>
      <c r="I84">
        <v>1019.97</v>
      </c>
      <c r="J84">
        <v>1</v>
      </c>
      <c r="K84" s="2">
        <v>3.8100000000000002E-2</v>
      </c>
    </row>
    <row r="85" spans="1:11" x14ac:dyDescent="0.3">
      <c r="A85" t="s">
        <v>17</v>
      </c>
      <c r="B85" t="s">
        <v>39</v>
      </c>
      <c r="C85" s="1">
        <v>45383</v>
      </c>
      <c r="D85">
        <v>72</v>
      </c>
      <c r="E85">
        <v>6</v>
      </c>
      <c r="F85">
        <v>508.55</v>
      </c>
      <c r="G85">
        <v>3</v>
      </c>
      <c r="H85" s="2">
        <v>0.5</v>
      </c>
      <c r="I85">
        <v>3633.75</v>
      </c>
      <c r="J85">
        <v>3</v>
      </c>
      <c r="K85" s="2">
        <v>1.1399999999999999E-2</v>
      </c>
    </row>
    <row r="86" spans="1:11" x14ac:dyDescent="0.3">
      <c r="A86" t="s">
        <v>18</v>
      </c>
      <c r="B86" t="s">
        <v>39</v>
      </c>
      <c r="C86" s="1">
        <v>45383</v>
      </c>
      <c r="D86">
        <v>72</v>
      </c>
      <c r="E86">
        <v>18</v>
      </c>
      <c r="F86">
        <v>299.08999999999997</v>
      </c>
      <c r="G86">
        <v>2</v>
      </c>
      <c r="H86" s="2">
        <v>0.1111111111111111</v>
      </c>
      <c r="I86">
        <v>2378.29</v>
      </c>
      <c r="J86">
        <v>2</v>
      </c>
      <c r="K86" s="2">
        <v>0.1052</v>
      </c>
    </row>
    <row r="87" spans="1:11" x14ac:dyDescent="0.3">
      <c r="A87" t="s">
        <v>19</v>
      </c>
      <c r="B87" t="s">
        <v>39</v>
      </c>
      <c r="C87" s="1">
        <v>45383</v>
      </c>
      <c r="D87">
        <v>44</v>
      </c>
      <c r="E87">
        <v>6</v>
      </c>
      <c r="F87">
        <v>246.21</v>
      </c>
      <c r="G87">
        <v>5</v>
      </c>
      <c r="H87" s="2">
        <v>0.83333333333333337</v>
      </c>
      <c r="I87">
        <v>4155.8</v>
      </c>
      <c r="J87">
        <v>1</v>
      </c>
      <c r="K87" s="2">
        <v>4.3299999999999998E-2</v>
      </c>
    </row>
    <row r="88" spans="1:11" x14ac:dyDescent="0.3">
      <c r="A88" t="s">
        <v>20</v>
      </c>
      <c r="B88" t="s">
        <v>39</v>
      </c>
      <c r="C88" s="1">
        <v>45383</v>
      </c>
      <c r="D88">
        <v>29</v>
      </c>
      <c r="E88">
        <v>16</v>
      </c>
      <c r="F88">
        <v>412.07</v>
      </c>
      <c r="G88">
        <v>10</v>
      </c>
      <c r="H88" s="2">
        <v>0.625</v>
      </c>
      <c r="I88">
        <v>1075.94</v>
      </c>
      <c r="J88">
        <v>1</v>
      </c>
      <c r="K88" s="2">
        <v>6.2400000000000004E-2</v>
      </c>
    </row>
    <row r="89" spans="1:11" x14ac:dyDescent="0.3">
      <c r="A89" t="s">
        <v>21</v>
      </c>
      <c r="B89" t="s">
        <v>39</v>
      </c>
      <c r="C89" s="1">
        <v>45383</v>
      </c>
      <c r="D89">
        <v>64</v>
      </c>
      <c r="E89">
        <v>13</v>
      </c>
      <c r="F89">
        <v>317.58</v>
      </c>
      <c r="G89">
        <v>8</v>
      </c>
      <c r="H89" s="2">
        <v>0.61538461538461542</v>
      </c>
      <c r="I89">
        <v>1088.22</v>
      </c>
      <c r="J89">
        <v>3</v>
      </c>
      <c r="K89" s="2">
        <v>3.49E-2</v>
      </c>
    </row>
    <row r="90" spans="1:11" x14ac:dyDescent="0.3">
      <c r="A90" t="s">
        <v>22</v>
      </c>
      <c r="B90" t="s">
        <v>39</v>
      </c>
      <c r="C90" s="1">
        <v>45383</v>
      </c>
      <c r="D90">
        <v>16</v>
      </c>
      <c r="E90">
        <v>7</v>
      </c>
      <c r="F90">
        <v>181.58</v>
      </c>
      <c r="G90">
        <v>6</v>
      </c>
      <c r="H90" s="2">
        <v>0.8571428571428571</v>
      </c>
      <c r="I90">
        <v>868.4</v>
      </c>
      <c r="J90">
        <v>2</v>
      </c>
      <c r="K90" s="2">
        <v>8.4100000000000008E-2</v>
      </c>
    </row>
    <row r="91" spans="1:11" x14ac:dyDescent="0.3">
      <c r="A91" t="s">
        <v>23</v>
      </c>
      <c r="B91" t="s">
        <v>39</v>
      </c>
      <c r="C91" s="1">
        <v>45383</v>
      </c>
      <c r="D91">
        <v>37</v>
      </c>
      <c r="E91">
        <v>7</v>
      </c>
      <c r="F91">
        <v>470.85</v>
      </c>
      <c r="G91">
        <v>7</v>
      </c>
      <c r="H91" s="2">
        <v>1</v>
      </c>
      <c r="I91">
        <v>3483.6</v>
      </c>
      <c r="J91">
        <v>1</v>
      </c>
      <c r="K91" s="2">
        <v>4.2599999999999999E-2</v>
      </c>
    </row>
    <row r="92" spans="1:11" x14ac:dyDescent="0.3">
      <c r="A92" t="s">
        <v>24</v>
      </c>
      <c r="B92" t="s">
        <v>39</v>
      </c>
      <c r="C92" s="1">
        <v>45383</v>
      </c>
      <c r="D92">
        <v>81</v>
      </c>
      <c r="E92">
        <v>16</v>
      </c>
      <c r="F92">
        <v>584.29999999999995</v>
      </c>
      <c r="G92">
        <v>3</v>
      </c>
      <c r="H92" s="2">
        <v>0.1875</v>
      </c>
      <c r="I92">
        <v>377.45</v>
      </c>
      <c r="J92">
        <v>3</v>
      </c>
      <c r="K92" s="2">
        <v>3.32E-2</v>
      </c>
    </row>
    <row r="93" spans="1:11" x14ac:dyDescent="0.3">
      <c r="A93" t="s">
        <v>25</v>
      </c>
      <c r="B93" t="s">
        <v>39</v>
      </c>
      <c r="C93" s="1">
        <v>45383</v>
      </c>
      <c r="D93">
        <v>26</v>
      </c>
      <c r="E93">
        <v>6</v>
      </c>
      <c r="F93">
        <v>231.59</v>
      </c>
      <c r="G93">
        <v>2</v>
      </c>
      <c r="H93" s="2">
        <v>0.33333333333333331</v>
      </c>
      <c r="I93">
        <v>3988.15</v>
      </c>
      <c r="J93">
        <v>2</v>
      </c>
      <c r="K93" s="2">
        <v>3.8399999999999997E-2</v>
      </c>
    </row>
    <row r="94" spans="1:11" x14ac:dyDescent="0.3">
      <c r="A94" t="s">
        <v>26</v>
      </c>
      <c r="B94" t="s">
        <v>40</v>
      </c>
      <c r="C94" s="1">
        <v>45383</v>
      </c>
      <c r="D94">
        <v>69</v>
      </c>
      <c r="E94">
        <v>9</v>
      </c>
      <c r="F94">
        <v>221.01</v>
      </c>
      <c r="G94">
        <v>3</v>
      </c>
      <c r="H94" s="2">
        <v>0.33333333333333331</v>
      </c>
      <c r="I94">
        <v>643.44000000000005</v>
      </c>
      <c r="J94">
        <v>1</v>
      </c>
      <c r="K94" s="2">
        <v>3.2000000000000001E-2</v>
      </c>
    </row>
    <row r="95" spans="1:11" x14ac:dyDescent="0.3">
      <c r="A95" t="s">
        <v>27</v>
      </c>
      <c r="B95" t="s">
        <v>40</v>
      </c>
      <c r="C95" s="1">
        <v>45383</v>
      </c>
      <c r="D95">
        <v>103</v>
      </c>
      <c r="E95">
        <v>6</v>
      </c>
      <c r="F95">
        <v>165.74</v>
      </c>
      <c r="G95">
        <v>6</v>
      </c>
      <c r="H95" s="2">
        <v>1</v>
      </c>
      <c r="I95">
        <v>1169.3800000000001</v>
      </c>
      <c r="J95">
        <v>3</v>
      </c>
      <c r="K95" s="2">
        <v>7.7699999999999991E-2</v>
      </c>
    </row>
    <row r="96" spans="1:11" x14ac:dyDescent="0.3">
      <c r="A96" t="s">
        <v>28</v>
      </c>
      <c r="B96" t="s">
        <v>40</v>
      </c>
      <c r="C96" s="1">
        <v>45383</v>
      </c>
      <c r="D96">
        <v>100</v>
      </c>
      <c r="E96">
        <v>7</v>
      </c>
      <c r="F96">
        <v>82.62</v>
      </c>
      <c r="G96">
        <v>6</v>
      </c>
      <c r="H96" s="2">
        <v>0.8571428571428571</v>
      </c>
      <c r="I96">
        <v>4085.91</v>
      </c>
      <c r="J96">
        <v>2</v>
      </c>
      <c r="K96" s="2">
        <v>9.0500000000000011E-2</v>
      </c>
    </row>
    <row r="97" spans="1:11" x14ac:dyDescent="0.3">
      <c r="A97" t="s">
        <v>29</v>
      </c>
      <c r="B97" t="s">
        <v>40</v>
      </c>
      <c r="C97" s="1">
        <v>45383</v>
      </c>
      <c r="D97">
        <v>26</v>
      </c>
      <c r="E97">
        <v>17</v>
      </c>
      <c r="F97">
        <v>526.34</v>
      </c>
      <c r="G97">
        <v>6</v>
      </c>
      <c r="H97" s="2">
        <v>0.35294117647058826</v>
      </c>
      <c r="I97">
        <v>3360.11</v>
      </c>
      <c r="J97">
        <v>1</v>
      </c>
      <c r="K97" s="2">
        <v>3.0600000000000002E-2</v>
      </c>
    </row>
    <row r="98" spans="1:11" x14ac:dyDescent="0.3">
      <c r="A98" t="s">
        <v>30</v>
      </c>
      <c r="B98" t="s">
        <v>40</v>
      </c>
      <c r="C98" s="1">
        <v>45383</v>
      </c>
      <c r="D98">
        <v>104</v>
      </c>
      <c r="E98">
        <v>22</v>
      </c>
      <c r="F98">
        <v>190.87</v>
      </c>
      <c r="G98">
        <v>4</v>
      </c>
      <c r="H98" s="2">
        <v>0.18181818181818182</v>
      </c>
      <c r="I98">
        <v>433.41</v>
      </c>
      <c r="J98">
        <v>3</v>
      </c>
      <c r="K98" s="2">
        <v>9.3599999999999989E-2</v>
      </c>
    </row>
    <row r="99" spans="1:11" x14ac:dyDescent="0.3">
      <c r="A99" t="s">
        <v>31</v>
      </c>
      <c r="B99" t="s">
        <v>40</v>
      </c>
      <c r="C99" s="1">
        <v>45383</v>
      </c>
      <c r="D99">
        <v>63</v>
      </c>
      <c r="E99">
        <v>11</v>
      </c>
      <c r="F99">
        <v>554.51</v>
      </c>
      <c r="G99">
        <v>1</v>
      </c>
      <c r="H99" s="2">
        <v>9.0909090909090912E-2</v>
      </c>
      <c r="I99">
        <v>1138.51</v>
      </c>
      <c r="J99">
        <v>2</v>
      </c>
      <c r="K99" s="2">
        <v>1E-3</v>
      </c>
    </row>
    <row r="100" spans="1:11" x14ac:dyDescent="0.3">
      <c r="A100" t="s">
        <v>32</v>
      </c>
      <c r="B100" t="s">
        <v>40</v>
      </c>
      <c r="C100" s="1">
        <v>45383</v>
      </c>
      <c r="D100">
        <v>22</v>
      </c>
      <c r="E100">
        <v>13</v>
      </c>
      <c r="F100">
        <v>302.49</v>
      </c>
      <c r="G100">
        <v>2</v>
      </c>
      <c r="H100" s="2">
        <v>0.15384615384615385</v>
      </c>
      <c r="I100">
        <v>1591.45</v>
      </c>
      <c r="J100">
        <v>3</v>
      </c>
      <c r="K100" s="2">
        <v>4.9599999999999998E-2</v>
      </c>
    </row>
    <row r="101" spans="1:11" x14ac:dyDescent="0.3">
      <c r="A101" t="s">
        <v>33</v>
      </c>
      <c r="B101" t="s">
        <v>40</v>
      </c>
      <c r="C101" s="1">
        <v>45383</v>
      </c>
      <c r="D101">
        <v>91</v>
      </c>
      <c r="E101">
        <v>5</v>
      </c>
      <c r="F101">
        <v>605.11</v>
      </c>
      <c r="G101">
        <v>2</v>
      </c>
      <c r="H101" s="2">
        <v>0.4</v>
      </c>
      <c r="I101">
        <v>3499.88</v>
      </c>
      <c r="J101">
        <v>2</v>
      </c>
      <c r="K101" s="2">
        <v>3.0200000000000001E-2</v>
      </c>
    </row>
    <row r="102" spans="1:11" x14ac:dyDescent="0.3">
      <c r="A102" t="s">
        <v>34</v>
      </c>
      <c r="B102" t="s">
        <v>40</v>
      </c>
      <c r="C102" s="1">
        <v>45383</v>
      </c>
      <c r="D102">
        <v>77</v>
      </c>
      <c r="E102">
        <v>8</v>
      </c>
      <c r="F102">
        <v>173.88</v>
      </c>
      <c r="G102">
        <v>6</v>
      </c>
      <c r="H102" s="2">
        <v>0.75</v>
      </c>
      <c r="I102">
        <v>462.44</v>
      </c>
      <c r="J102">
        <v>1</v>
      </c>
      <c r="K102" s="2">
        <v>7.9899999999999999E-2</v>
      </c>
    </row>
    <row r="103" spans="1:11" x14ac:dyDescent="0.3">
      <c r="A103" t="s">
        <v>35</v>
      </c>
      <c r="B103" t="s">
        <v>40</v>
      </c>
      <c r="C103" s="1">
        <v>45383</v>
      </c>
      <c r="D103">
        <v>90</v>
      </c>
      <c r="E103">
        <v>17</v>
      </c>
      <c r="F103">
        <v>366.84</v>
      </c>
      <c r="G103">
        <v>0</v>
      </c>
      <c r="H103" s="2">
        <v>0</v>
      </c>
      <c r="I103">
        <v>3153.56</v>
      </c>
      <c r="J103">
        <v>3</v>
      </c>
      <c r="K103" s="2">
        <v>2.4500000000000001E-2</v>
      </c>
    </row>
    <row r="104" spans="1:11" x14ac:dyDescent="0.3">
      <c r="A104" t="s">
        <v>37</v>
      </c>
      <c r="B104" t="s">
        <v>40</v>
      </c>
      <c r="C104" s="1">
        <v>45383</v>
      </c>
      <c r="D104">
        <v>33</v>
      </c>
      <c r="E104">
        <v>9</v>
      </c>
      <c r="F104">
        <v>578.41999999999996</v>
      </c>
      <c r="G104">
        <v>4</v>
      </c>
      <c r="H104" s="2">
        <v>0.44444444444444442</v>
      </c>
      <c r="I104">
        <v>229.72</v>
      </c>
      <c r="J104">
        <v>2</v>
      </c>
      <c r="K104" s="2">
        <v>7.46E-2</v>
      </c>
    </row>
    <row r="105" spans="1:11" x14ac:dyDescent="0.3">
      <c r="A105" t="s">
        <v>38</v>
      </c>
      <c r="B105" t="s">
        <v>40</v>
      </c>
      <c r="C105" s="1">
        <v>45383</v>
      </c>
      <c r="D105">
        <v>42</v>
      </c>
      <c r="E105">
        <v>14</v>
      </c>
      <c r="F105">
        <v>321.29000000000002</v>
      </c>
      <c r="G105">
        <v>7</v>
      </c>
      <c r="H105" s="2">
        <v>0.5</v>
      </c>
      <c r="I105">
        <v>4298.2700000000004</v>
      </c>
      <c r="J105">
        <v>1</v>
      </c>
      <c r="K105" s="2">
        <v>7.4499999999999997E-2</v>
      </c>
    </row>
    <row r="106" spans="1:11" x14ac:dyDescent="0.3">
      <c r="A106" t="s">
        <v>11</v>
      </c>
      <c r="B106" t="s">
        <v>40</v>
      </c>
      <c r="C106" s="1">
        <v>45413</v>
      </c>
      <c r="D106">
        <v>69</v>
      </c>
      <c r="E106">
        <v>16</v>
      </c>
      <c r="F106">
        <v>299.22000000000003</v>
      </c>
      <c r="G106">
        <v>6</v>
      </c>
      <c r="H106" s="2">
        <v>0.375</v>
      </c>
      <c r="I106">
        <v>3716.14</v>
      </c>
      <c r="J106">
        <v>3</v>
      </c>
      <c r="K106" s="2">
        <v>2.63E-2</v>
      </c>
    </row>
    <row r="107" spans="1:11" x14ac:dyDescent="0.3">
      <c r="A107" t="s">
        <v>13</v>
      </c>
      <c r="B107" t="s">
        <v>40</v>
      </c>
      <c r="C107" s="1">
        <v>45413</v>
      </c>
      <c r="D107">
        <v>68</v>
      </c>
      <c r="E107">
        <v>11</v>
      </c>
      <c r="F107">
        <v>345.62</v>
      </c>
      <c r="G107">
        <v>4</v>
      </c>
      <c r="H107" s="2">
        <v>0.36363636363636365</v>
      </c>
      <c r="I107">
        <v>3558.13</v>
      </c>
      <c r="J107">
        <v>2</v>
      </c>
      <c r="K107" s="2">
        <v>4.0800000000000003E-2</v>
      </c>
    </row>
    <row r="108" spans="1:11" x14ac:dyDescent="0.3">
      <c r="A108" t="s">
        <v>14</v>
      </c>
      <c r="B108" t="s">
        <v>40</v>
      </c>
      <c r="C108" s="1">
        <v>45413</v>
      </c>
      <c r="D108">
        <v>45</v>
      </c>
      <c r="E108">
        <v>17</v>
      </c>
      <c r="F108">
        <v>416.96</v>
      </c>
      <c r="G108">
        <v>3</v>
      </c>
      <c r="H108" s="2">
        <v>0.17647058823529413</v>
      </c>
      <c r="I108">
        <v>3327.07</v>
      </c>
      <c r="J108">
        <v>1</v>
      </c>
      <c r="K108" s="2">
        <v>4.0999999999999995E-2</v>
      </c>
    </row>
    <row r="109" spans="1:11" x14ac:dyDescent="0.3">
      <c r="A109" t="s">
        <v>15</v>
      </c>
      <c r="B109" t="s">
        <v>40</v>
      </c>
      <c r="C109" s="1">
        <v>45413</v>
      </c>
      <c r="D109">
        <v>17</v>
      </c>
      <c r="E109">
        <v>8</v>
      </c>
      <c r="F109">
        <v>72.05</v>
      </c>
      <c r="G109">
        <v>3</v>
      </c>
      <c r="H109" s="2">
        <v>0.375</v>
      </c>
      <c r="I109">
        <v>1672.82</v>
      </c>
      <c r="J109">
        <v>3</v>
      </c>
      <c r="K109" s="2">
        <v>3.0299999999999997E-2</v>
      </c>
    </row>
    <row r="110" spans="1:11" x14ac:dyDescent="0.3">
      <c r="A110" t="s">
        <v>16</v>
      </c>
      <c r="B110" t="s">
        <v>40</v>
      </c>
      <c r="C110" s="1">
        <v>45413</v>
      </c>
      <c r="D110">
        <v>85</v>
      </c>
      <c r="E110">
        <v>13</v>
      </c>
      <c r="F110">
        <v>475.61</v>
      </c>
      <c r="G110">
        <v>5</v>
      </c>
      <c r="H110" s="2">
        <v>0.38461538461538464</v>
      </c>
      <c r="I110">
        <v>939.32</v>
      </c>
      <c r="J110">
        <v>2</v>
      </c>
      <c r="K110" s="2">
        <v>3.6400000000000002E-2</v>
      </c>
    </row>
    <row r="111" spans="1:11" x14ac:dyDescent="0.3">
      <c r="A111" t="s">
        <v>17</v>
      </c>
      <c r="B111" t="s">
        <v>40</v>
      </c>
      <c r="C111" s="1">
        <v>45413</v>
      </c>
      <c r="D111">
        <v>49</v>
      </c>
      <c r="E111">
        <v>7</v>
      </c>
      <c r="F111">
        <v>469.53</v>
      </c>
      <c r="G111">
        <v>3</v>
      </c>
      <c r="H111" s="2">
        <v>0.42857142857142855</v>
      </c>
      <c r="I111">
        <v>3623.32</v>
      </c>
      <c r="J111">
        <v>1</v>
      </c>
      <c r="K111" s="2">
        <v>1.21E-2</v>
      </c>
    </row>
    <row r="112" spans="1:11" x14ac:dyDescent="0.3">
      <c r="A112" t="s">
        <v>18</v>
      </c>
      <c r="B112" t="s">
        <v>40</v>
      </c>
      <c r="C112" s="1">
        <v>45413</v>
      </c>
      <c r="D112">
        <v>66</v>
      </c>
      <c r="E112">
        <v>15</v>
      </c>
      <c r="F112">
        <v>333.1</v>
      </c>
      <c r="G112">
        <v>2</v>
      </c>
      <c r="H112" s="2">
        <v>0.13333333333333333</v>
      </c>
      <c r="I112">
        <v>2631.58</v>
      </c>
      <c r="J112">
        <v>1</v>
      </c>
      <c r="K112" s="2">
        <v>0.10249999999999999</v>
      </c>
    </row>
    <row r="113" spans="1:11" x14ac:dyDescent="0.3">
      <c r="A113" t="s">
        <v>19</v>
      </c>
      <c r="B113" t="s">
        <v>40</v>
      </c>
      <c r="C113" s="1">
        <v>45413</v>
      </c>
      <c r="D113">
        <v>63</v>
      </c>
      <c r="E113">
        <v>9</v>
      </c>
      <c r="F113">
        <v>258.11</v>
      </c>
      <c r="G113">
        <v>7</v>
      </c>
      <c r="H113" s="2">
        <v>0.77777777777777779</v>
      </c>
      <c r="I113">
        <v>4064.36</v>
      </c>
      <c r="J113">
        <v>3</v>
      </c>
      <c r="K113" s="2">
        <v>4.1599999999999998E-2</v>
      </c>
    </row>
    <row r="114" spans="1:11" x14ac:dyDescent="0.3">
      <c r="A114" t="s">
        <v>20</v>
      </c>
      <c r="B114" t="s">
        <v>40</v>
      </c>
      <c r="C114" s="1">
        <v>45413</v>
      </c>
      <c r="D114">
        <v>31</v>
      </c>
      <c r="E114">
        <v>20</v>
      </c>
      <c r="F114">
        <v>400.8</v>
      </c>
      <c r="G114">
        <v>8</v>
      </c>
      <c r="H114" s="2">
        <v>0.4</v>
      </c>
      <c r="I114">
        <v>1294.3599999999999</v>
      </c>
      <c r="J114">
        <v>2</v>
      </c>
      <c r="K114" s="2">
        <v>5.6399999999999999E-2</v>
      </c>
    </row>
    <row r="115" spans="1:11" x14ac:dyDescent="0.3">
      <c r="A115" t="s">
        <v>21</v>
      </c>
      <c r="B115" t="s">
        <v>40</v>
      </c>
      <c r="C115" s="1">
        <v>45413</v>
      </c>
      <c r="D115">
        <v>75</v>
      </c>
      <c r="E115">
        <v>19</v>
      </c>
      <c r="F115">
        <v>343.28</v>
      </c>
      <c r="G115">
        <v>9</v>
      </c>
      <c r="H115" s="2">
        <v>0.47368421052631576</v>
      </c>
      <c r="I115">
        <v>899.46</v>
      </c>
      <c r="J115">
        <v>1</v>
      </c>
      <c r="K115" s="2">
        <v>3.2199999999999999E-2</v>
      </c>
    </row>
    <row r="116" spans="1:11" x14ac:dyDescent="0.3">
      <c r="A116" t="s">
        <v>22</v>
      </c>
      <c r="B116" t="s">
        <v>40</v>
      </c>
      <c r="C116" s="1">
        <v>45413</v>
      </c>
      <c r="D116">
        <v>18</v>
      </c>
      <c r="E116">
        <v>7</v>
      </c>
      <c r="F116">
        <v>204.63</v>
      </c>
      <c r="G116">
        <v>7</v>
      </c>
      <c r="H116" s="2">
        <v>1</v>
      </c>
      <c r="I116">
        <v>789.77</v>
      </c>
      <c r="J116">
        <v>3</v>
      </c>
      <c r="K116" s="2">
        <v>7.4499999999999997E-2</v>
      </c>
    </row>
    <row r="117" spans="1:11" x14ac:dyDescent="0.3">
      <c r="A117" t="s">
        <v>23</v>
      </c>
      <c r="B117" t="s">
        <v>40</v>
      </c>
      <c r="C117" s="1">
        <v>45413</v>
      </c>
      <c r="D117">
        <v>35</v>
      </c>
      <c r="E117">
        <v>6</v>
      </c>
      <c r="F117">
        <v>553.11</v>
      </c>
      <c r="G117">
        <v>4</v>
      </c>
      <c r="H117" s="2">
        <v>0.66666666666666663</v>
      </c>
      <c r="I117">
        <v>3867.67</v>
      </c>
      <c r="J117">
        <v>2</v>
      </c>
      <c r="K117" s="2">
        <v>3.8300000000000001E-2</v>
      </c>
    </row>
    <row r="118" spans="1:11" x14ac:dyDescent="0.3">
      <c r="A118" t="s">
        <v>24</v>
      </c>
      <c r="B118" t="s">
        <v>40</v>
      </c>
      <c r="C118" s="1">
        <v>45413</v>
      </c>
      <c r="D118">
        <v>74</v>
      </c>
      <c r="E118">
        <v>20</v>
      </c>
      <c r="F118">
        <v>623.33000000000004</v>
      </c>
      <c r="G118">
        <v>2</v>
      </c>
      <c r="H118" s="2">
        <v>0.1</v>
      </c>
      <c r="I118">
        <v>359.97</v>
      </c>
      <c r="J118">
        <v>1</v>
      </c>
      <c r="K118" s="2">
        <v>3.8399999999999997E-2</v>
      </c>
    </row>
    <row r="119" spans="1:11" x14ac:dyDescent="0.3">
      <c r="A119" t="s">
        <v>25</v>
      </c>
      <c r="B119" t="s">
        <v>40</v>
      </c>
      <c r="C119" s="1">
        <v>45413</v>
      </c>
      <c r="D119">
        <v>26</v>
      </c>
      <c r="E119">
        <v>7</v>
      </c>
      <c r="F119">
        <v>200.45</v>
      </c>
      <c r="G119">
        <v>1</v>
      </c>
      <c r="H119" s="2">
        <v>0.14285714285714285</v>
      </c>
      <c r="I119">
        <v>3797.35</v>
      </c>
      <c r="J119">
        <v>3</v>
      </c>
      <c r="K119" s="2">
        <v>4.1399999999999999E-2</v>
      </c>
    </row>
    <row r="120" spans="1:11" x14ac:dyDescent="0.3">
      <c r="A120" t="s">
        <v>26</v>
      </c>
      <c r="B120" t="s">
        <v>40</v>
      </c>
      <c r="C120" s="1">
        <v>45413</v>
      </c>
      <c r="D120">
        <v>50</v>
      </c>
      <c r="E120">
        <v>7</v>
      </c>
      <c r="F120">
        <v>196.2</v>
      </c>
      <c r="G120">
        <v>2</v>
      </c>
      <c r="H120" s="2">
        <v>0.2857142857142857</v>
      </c>
      <c r="I120">
        <v>592.71</v>
      </c>
      <c r="J120">
        <v>2</v>
      </c>
      <c r="K120" s="2">
        <v>2.76E-2</v>
      </c>
    </row>
    <row r="121" spans="1:11" x14ac:dyDescent="0.3">
      <c r="A121" t="s">
        <v>27</v>
      </c>
      <c r="B121" t="s">
        <v>40</v>
      </c>
      <c r="C121" s="1">
        <v>45413</v>
      </c>
      <c r="D121">
        <v>97</v>
      </c>
      <c r="E121">
        <v>5</v>
      </c>
      <c r="F121">
        <v>185.62</v>
      </c>
      <c r="G121">
        <v>4</v>
      </c>
      <c r="H121" s="2">
        <v>0.8</v>
      </c>
      <c r="I121">
        <v>1282.81</v>
      </c>
      <c r="J121">
        <v>1</v>
      </c>
      <c r="K121" s="2">
        <v>7.22E-2</v>
      </c>
    </row>
    <row r="122" spans="1:11" x14ac:dyDescent="0.3">
      <c r="A122" t="s">
        <v>28</v>
      </c>
      <c r="B122" t="s">
        <v>40</v>
      </c>
      <c r="C122" s="1">
        <v>45413</v>
      </c>
      <c r="D122">
        <v>91</v>
      </c>
      <c r="E122">
        <v>7</v>
      </c>
      <c r="F122">
        <v>89.39</v>
      </c>
      <c r="G122">
        <v>6</v>
      </c>
      <c r="H122" s="2">
        <v>0.8571428571428571</v>
      </c>
      <c r="I122">
        <v>3971.59</v>
      </c>
      <c r="J122">
        <v>3</v>
      </c>
      <c r="K122" s="2">
        <v>9.0700000000000003E-2</v>
      </c>
    </row>
    <row r="123" spans="1:11" x14ac:dyDescent="0.3">
      <c r="A123" t="s">
        <v>29</v>
      </c>
      <c r="B123" t="s">
        <v>40</v>
      </c>
      <c r="C123" s="1">
        <v>45413</v>
      </c>
      <c r="D123">
        <v>21</v>
      </c>
      <c r="E123">
        <v>14</v>
      </c>
      <c r="F123">
        <v>472.79</v>
      </c>
      <c r="G123">
        <v>8</v>
      </c>
      <c r="H123" s="2">
        <v>0.5714285714285714</v>
      </c>
      <c r="I123">
        <v>3830.32</v>
      </c>
      <c r="J123">
        <v>2</v>
      </c>
      <c r="K123" s="2">
        <v>3.5200000000000002E-2</v>
      </c>
    </row>
    <row r="124" spans="1:11" x14ac:dyDescent="0.3">
      <c r="A124" t="s">
        <v>30</v>
      </c>
      <c r="B124" t="s">
        <v>40</v>
      </c>
      <c r="C124" s="1">
        <v>45413</v>
      </c>
      <c r="D124">
        <v>91</v>
      </c>
      <c r="E124">
        <v>15</v>
      </c>
      <c r="F124">
        <v>173.03</v>
      </c>
      <c r="G124">
        <v>4</v>
      </c>
      <c r="H124" s="2">
        <v>0.26666666666666666</v>
      </c>
      <c r="I124">
        <v>386.08</v>
      </c>
      <c r="J124">
        <v>1</v>
      </c>
      <c r="K124" s="2">
        <v>9.820000000000001E-2</v>
      </c>
    </row>
    <row r="125" spans="1:11" x14ac:dyDescent="0.3">
      <c r="A125" t="s">
        <v>31</v>
      </c>
      <c r="B125" t="s">
        <v>40</v>
      </c>
      <c r="C125" s="1">
        <v>45413</v>
      </c>
      <c r="D125">
        <v>67</v>
      </c>
      <c r="E125">
        <v>15</v>
      </c>
      <c r="F125">
        <v>499.68</v>
      </c>
      <c r="G125">
        <v>0</v>
      </c>
      <c r="H125" s="2">
        <v>0</v>
      </c>
      <c r="I125">
        <v>1287.1300000000001</v>
      </c>
      <c r="J125">
        <v>3</v>
      </c>
      <c r="K125" s="2">
        <v>1E-3</v>
      </c>
    </row>
    <row r="126" spans="1:11" x14ac:dyDescent="0.3">
      <c r="A126" t="s">
        <v>32</v>
      </c>
      <c r="B126" t="s">
        <v>40</v>
      </c>
      <c r="C126" s="1">
        <v>45413</v>
      </c>
      <c r="D126">
        <v>19</v>
      </c>
      <c r="E126">
        <v>13</v>
      </c>
      <c r="F126">
        <v>316.23</v>
      </c>
      <c r="G126">
        <v>1</v>
      </c>
      <c r="H126" s="2">
        <v>7.6923076923076927E-2</v>
      </c>
      <c r="I126">
        <v>1598.49</v>
      </c>
      <c r="J126">
        <v>2</v>
      </c>
      <c r="K126" s="2">
        <v>5.8299999999999998E-2</v>
      </c>
    </row>
    <row r="127" spans="1:11" x14ac:dyDescent="0.3">
      <c r="A127" t="s">
        <v>33</v>
      </c>
      <c r="B127" t="s">
        <v>40</v>
      </c>
      <c r="C127" s="1">
        <v>45413</v>
      </c>
      <c r="D127">
        <v>105</v>
      </c>
      <c r="E127">
        <v>6</v>
      </c>
      <c r="F127">
        <v>567.03</v>
      </c>
      <c r="G127">
        <v>1</v>
      </c>
      <c r="H127" s="2">
        <v>0.16666666666666666</v>
      </c>
      <c r="I127">
        <v>3496.65</v>
      </c>
      <c r="J127">
        <v>1</v>
      </c>
      <c r="K127" s="2">
        <v>3.0600000000000002E-2</v>
      </c>
    </row>
    <row r="128" spans="1:11" x14ac:dyDescent="0.3">
      <c r="A128" t="s">
        <v>34</v>
      </c>
      <c r="B128" t="s">
        <v>40</v>
      </c>
      <c r="C128" s="1">
        <v>45413</v>
      </c>
      <c r="D128">
        <v>73</v>
      </c>
      <c r="E128">
        <v>8</v>
      </c>
      <c r="F128">
        <v>175.52</v>
      </c>
      <c r="G128">
        <v>7</v>
      </c>
      <c r="H128" s="2">
        <v>0.875</v>
      </c>
      <c r="I128">
        <v>455.32</v>
      </c>
      <c r="J128">
        <v>3</v>
      </c>
      <c r="K128" s="2">
        <v>9.35E-2</v>
      </c>
    </row>
    <row r="129" spans="1:11" x14ac:dyDescent="0.3">
      <c r="A129" t="s">
        <v>35</v>
      </c>
      <c r="B129" t="s">
        <v>40</v>
      </c>
      <c r="C129" s="1">
        <v>45413</v>
      </c>
      <c r="D129">
        <v>111</v>
      </c>
      <c r="E129">
        <v>13</v>
      </c>
      <c r="F129">
        <v>358.31</v>
      </c>
      <c r="G129">
        <v>0</v>
      </c>
      <c r="H129" s="2">
        <v>0</v>
      </c>
      <c r="I129">
        <v>2811.77</v>
      </c>
      <c r="J129">
        <v>2</v>
      </c>
      <c r="K129" s="2">
        <v>2.7099999999999999E-2</v>
      </c>
    </row>
    <row r="130" spans="1:11" x14ac:dyDescent="0.3">
      <c r="A130" t="s">
        <v>37</v>
      </c>
      <c r="B130" t="s">
        <v>40</v>
      </c>
      <c r="C130" s="1">
        <v>45413</v>
      </c>
      <c r="D130">
        <v>38</v>
      </c>
      <c r="E130">
        <v>12</v>
      </c>
      <c r="F130">
        <v>556.33000000000004</v>
      </c>
      <c r="G130">
        <v>4</v>
      </c>
      <c r="H130" s="2">
        <v>0.33333333333333331</v>
      </c>
      <c r="I130">
        <v>241.08</v>
      </c>
      <c r="J130">
        <v>1</v>
      </c>
      <c r="K130" s="2">
        <v>7.0599999999999996E-2</v>
      </c>
    </row>
    <row r="131" spans="1:11" x14ac:dyDescent="0.3">
      <c r="A131" t="s">
        <v>38</v>
      </c>
      <c r="B131" t="s">
        <v>40</v>
      </c>
      <c r="C131" s="1">
        <v>45413</v>
      </c>
      <c r="D131">
        <v>33</v>
      </c>
      <c r="E131">
        <v>17</v>
      </c>
      <c r="F131">
        <v>371.65</v>
      </c>
      <c r="G131">
        <v>9</v>
      </c>
      <c r="H131" s="2">
        <v>0.52941176470588236</v>
      </c>
      <c r="I131">
        <v>4068.75</v>
      </c>
      <c r="J131">
        <v>3</v>
      </c>
      <c r="K131" s="2">
        <v>8.5500000000000007E-2</v>
      </c>
    </row>
    <row r="132" spans="1:11" x14ac:dyDescent="0.3">
      <c r="A132" t="s">
        <v>11</v>
      </c>
      <c r="B132" t="s">
        <v>40</v>
      </c>
      <c r="C132" s="1">
        <v>45444</v>
      </c>
      <c r="D132">
        <v>59</v>
      </c>
      <c r="E132">
        <v>16</v>
      </c>
      <c r="F132">
        <v>359.47</v>
      </c>
      <c r="G132">
        <v>7</v>
      </c>
      <c r="H132" s="2">
        <v>0.4375</v>
      </c>
      <c r="I132">
        <v>3958.94</v>
      </c>
      <c r="J132">
        <v>2</v>
      </c>
      <c r="K132" s="2">
        <v>2.46E-2</v>
      </c>
    </row>
    <row r="133" spans="1:11" x14ac:dyDescent="0.3">
      <c r="A133" t="s">
        <v>13</v>
      </c>
      <c r="B133" t="s">
        <v>40</v>
      </c>
      <c r="C133" s="1">
        <v>45444</v>
      </c>
      <c r="D133">
        <v>71</v>
      </c>
      <c r="E133">
        <v>11</v>
      </c>
      <c r="F133">
        <v>379.33</v>
      </c>
      <c r="G133">
        <v>4</v>
      </c>
      <c r="H133" s="2">
        <v>0.36363636363636365</v>
      </c>
      <c r="I133">
        <v>4003.52</v>
      </c>
      <c r="J133">
        <v>1</v>
      </c>
      <c r="K133" s="2">
        <v>4.2900000000000001E-2</v>
      </c>
    </row>
    <row r="134" spans="1:11" x14ac:dyDescent="0.3">
      <c r="A134" t="s">
        <v>14</v>
      </c>
      <c r="B134" t="s">
        <v>40</v>
      </c>
      <c r="C134" s="1">
        <v>45444</v>
      </c>
      <c r="D134">
        <v>48</v>
      </c>
      <c r="E134">
        <v>14</v>
      </c>
      <c r="F134">
        <v>383.94</v>
      </c>
      <c r="G134">
        <v>3</v>
      </c>
      <c r="H134" s="2">
        <v>0.21428571428571427</v>
      </c>
      <c r="I134">
        <v>3173.36</v>
      </c>
      <c r="J134">
        <v>3</v>
      </c>
      <c r="K134" s="2">
        <v>4.0999999999999995E-2</v>
      </c>
    </row>
    <row r="135" spans="1:11" x14ac:dyDescent="0.3">
      <c r="A135" t="s">
        <v>15</v>
      </c>
      <c r="B135" t="s">
        <v>40</v>
      </c>
      <c r="C135" s="1">
        <v>45444</v>
      </c>
      <c r="D135">
        <v>18</v>
      </c>
      <c r="E135">
        <v>7</v>
      </c>
      <c r="F135">
        <v>85.32</v>
      </c>
      <c r="G135">
        <v>3</v>
      </c>
      <c r="H135" s="2">
        <v>0.42857142857142855</v>
      </c>
      <c r="I135">
        <v>1431.69</v>
      </c>
      <c r="J135">
        <v>2</v>
      </c>
      <c r="K135" s="2">
        <v>3.1600000000000003E-2</v>
      </c>
    </row>
    <row r="136" spans="1:11" x14ac:dyDescent="0.3">
      <c r="A136" t="s">
        <v>16</v>
      </c>
      <c r="B136" t="s">
        <v>40</v>
      </c>
      <c r="C136" s="1">
        <v>45444</v>
      </c>
      <c r="D136">
        <v>93</v>
      </c>
      <c r="E136">
        <v>14</v>
      </c>
      <c r="F136">
        <v>466.81</v>
      </c>
      <c r="G136">
        <v>5</v>
      </c>
      <c r="H136" s="2">
        <v>0.35714285714285715</v>
      </c>
      <c r="I136">
        <v>988.98</v>
      </c>
      <c r="J136">
        <v>1</v>
      </c>
      <c r="K136" s="2">
        <v>4.2300000000000004E-2</v>
      </c>
    </row>
    <row r="137" spans="1:11" x14ac:dyDescent="0.3">
      <c r="A137" t="s">
        <v>17</v>
      </c>
      <c r="B137" t="s">
        <v>41</v>
      </c>
      <c r="C137" s="1">
        <v>45444</v>
      </c>
      <c r="D137">
        <v>49</v>
      </c>
      <c r="E137">
        <v>7</v>
      </c>
      <c r="F137">
        <v>512.88</v>
      </c>
      <c r="G137">
        <v>2</v>
      </c>
      <c r="H137" s="2">
        <v>0.2857142857142857</v>
      </c>
      <c r="I137">
        <v>3545.66</v>
      </c>
      <c r="J137">
        <v>1</v>
      </c>
      <c r="K137" s="2">
        <v>1.2699999999999999E-2</v>
      </c>
    </row>
    <row r="138" spans="1:11" x14ac:dyDescent="0.3">
      <c r="A138" t="s">
        <v>18</v>
      </c>
      <c r="B138" t="s">
        <v>41</v>
      </c>
      <c r="C138" s="1">
        <v>45444</v>
      </c>
      <c r="D138">
        <v>85</v>
      </c>
      <c r="E138">
        <v>17</v>
      </c>
      <c r="F138">
        <v>324.56</v>
      </c>
      <c r="G138">
        <v>3</v>
      </c>
      <c r="H138" s="2">
        <v>0.17647058823529413</v>
      </c>
      <c r="I138">
        <v>2420.5300000000002</v>
      </c>
      <c r="J138">
        <v>3</v>
      </c>
      <c r="K138" s="2">
        <v>8.929999999999999E-2</v>
      </c>
    </row>
    <row r="139" spans="1:11" x14ac:dyDescent="0.3">
      <c r="A139" t="s">
        <v>19</v>
      </c>
      <c r="B139" t="s">
        <v>41</v>
      </c>
      <c r="C139" s="1">
        <v>45444</v>
      </c>
      <c r="D139">
        <v>61</v>
      </c>
      <c r="E139">
        <v>7</v>
      </c>
      <c r="F139">
        <v>219.53</v>
      </c>
      <c r="G139">
        <v>7</v>
      </c>
      <c r="H139" s="2">
        <v>1</v>
      </c>
      <c r="I139">
        <v>3860.12</v>
      </c>
      <c r="J139">
        <v>2</v>
      </c>
      <c r="K139" s="2">
        <v>4.3499999999999997E-2</v>
      </c>
    </row>
    <row r="140" spans="1:11" x14ac:dyDescent="0.3">
      <c r="A140" t="s">
        <v>20</v>
      </c>
      <c r="B140" t="s">
        <v>41</v>
      </c>
      <c r="C140" s="1">
        <v>45444</v>
      </c>
      <c r="D140">
        <v>30</v>
      </c>
      <c r="E140">
        <v>16</v>
      </c>
      <c r="F140">
        <v>353.65</v>
      </c>
      <c r="G140">
        <v>9</v>
      </c>
      <c r="H140" s="2">
        <v>0.5625</v>
      </c>
      <c r="I140">
        <v>1213.5899999999999</v>
      </c>
      <c r="J140">
        <v>1</v>
      </c>
      <c r="K140" s="2">
        <v>6.2E-2</v>
      </c>
    </row>
    <row r="141" spans="1:11" x14ac:dyDescent="0.3">
      <c r="A141" t="s">
        <v>21</v>
      </c>
      <c r="B141" t="s">
        <v>41</v>
      </c>
      <c r="C141" s="1">
        <v>45444</v>
      </c>
      <c r="D141">
        <v>54</v>
      </c>
      <c r="E141">
        <v>16</v>
      </c>
      <c r="F141">
        <v>334.41</v>
      </c>
      <c r="G141">
        <v>9</v>
      </c>
      <c r="H141" s="2">
        <v>0.5625</v>
      </c>
      <c r="I141">
        <v>1056.98</v>
      </c>
      <c r="J141">
        <v>3</v>
      </c>
      <c r="K141" s="2">
        <v>3.5200000000000002E-2</v>
      </c>
    </row>
    <row r="142" spans="1:11" x14ac:dyDescent="0.3">
      <c r="A142" t="s">
        <v>22</v>
      </c>
      <c r="B142" t="s">
        <v>41</v>
      </c>
      <c r="C142" s="1">
        <v>45444</v>
      </c>
      <c r="D142">
        <v>19</v>
      </c>
      <c r="E142">
        <v>7</v>
      </c>
      <c r="F142">
        <v>199.46</v>
      </c>
      <c r="G142">
        <v>7</v>
      </c>
      <c r="H142" s="2">
        <v>1</v>
      </c>
      <c r="I142">
        <v>809.56</v>
      </c>
      <c r="J142">
        <v>2</v>
      </c>
      <c r="K142" s="2">
        <v>7.1399999999999991E-2</v>
      </c>
    </row>
    <row r="143" spans="1:11" x14ac:dyDescent="0.3">
      <c r="A143" t="s">
        <v>23</v>
      </c>
      <c r="B143" t="s">
        <v>41</v>
      </c>
      <c r="C143" s="1">
        <v>45444</v>
      </c>
      <c r="D143">
        <v>40</v>
      </c>
      <c r="E143">
        <v>6</v>
      </c>
      <c r="F143">
        <v>509.67</v>
      </c>
      <c r="G143">
        <v>4</v>
      </c>
      <c r="H143" s="2">
        <v>0.66666666666666663</v>
      </c>
      <c r="I143">
        <v>3330.44</v>
      </c>
      <c r="J143">
        <v>1</v>
      </c>
      <c r="K143" s="2">
        <v>3.8300000000000001E-2</v>
      </c>
    </row>
    <row r="144" spans="1:11" x14ac:dyDescent="0.3">
      <c r="A144" t="s">
        <v>24</v>
      </c>
      <c r="B144" t="s">
        <v>41</v>
      </c>
      <c r="C144" s="1">
        <v>45444</v>
      </c>
      <c r="D144">
        <v>73</v>
      </c>
      <c r="E144">
        <v>21</v>
      </c>
      <c r="F144">
        <v>601.02</v>
      </c>
      <c r="G144">
        <v>2</v>
      </c>
      <c r="H144" s="2">
        <v>9.5238095238095233E-2</v>
      </c>
      <c r="I144">
        <v>364.56</v>
      </c>
      <c r="J144">
        <v>3</v>
      </c>
      <c r="K144" s="2">
        <v>3.4300000000000004E-2</v>
      </c>
    </row>
    <row r="145" spans="1:11" x14ac:dyDescent="0.3">
      <c r="A145" t="s">
        <v>25</v>
      </c>
      <c r="B145" t="s">
        <v>41</v>
      </c>
      <c r="C145" s="1">
        <v>45444</v>
      </c>
      <c r="D145">
        <v>36</v>
      </c>
      <c r="E145">
        <v>9</v>
      </c>
      <c r="F145">
        <v>196.74</v>
      </c>
      <c r="G145">
        <v>1</v>
      </c>
      <c r="H145" s="2">
        <v>0.1111111111111111</v>
      </c>
      <c r="I145">
        <v>3760.57</v>
      </c>
      <c r="J145">
        <v>2</v>
      </c>
      <c r="K145" s="2">
        <v>3.9800000000000002E-2</v>
      </c>
    </row>
    <row r="146" spans="1:11" x14ac:dyDescent="0.3">
      <c r="A146" t="s">
        <v>26</v>
      </c>
      <c r="B146" t="s">
        <v>41</v>
      </c>
      <c r="C146" s="1">
        <v>45444</v>
      </c>
      <c r="D146">
        <v>58</v>
      </c>
      <c r="E146">
        <v>8</v>
      </c>
      <c r="F146">
        <v>196.58</v>
      </c>
      <c r="G146">
        <v>3</v>
      </c>
      <c r="H146" s="2">
        <v>0.375</v>
      </c>
      <c r="I146">
        <v>692.47</v>
      </c>
      <c r="J146">
        <v>1</v>
      </c>
      <c r="K146" s="2">
        <v>3.27E-2</v>
      </c>
    </row>
    <row r="147" spans="1:11" x14ac:dyDescent="0.3">
      <c r="A147" t="s">
        <v>27</v>
      </c>
      <c r="B147" t="s">
        <v>41</v>
      </c>
      <c r="C147" s="1">
        <v>45444</v>
      </c>
      <c r="D147">
        <v>100</v>
      </c>
      <c r="E147">
        <v>5</v>
      </c>
      <c r="F147">
        <v>153.87</v>
      </c>
      <c r="G147">
        <v>2</v>
      </c>
      <c r="H147" s="2">
        <v>0.4</v>
      </c>
      <c r="I147">
        <v>1190.24</v>
      </c>
      <c r="J147">
        <v>3</v>
      </c>
      <c r="K147" s="2">
        <v>8.0600000000000005E-2</v>
      </c>
    </row>
    <row r="148" spans="1:11" x14ac:dyDescent="0.3">
      <c r="A148" t="s">
        <v>28</v>
      </c>
      <c r="B148" t="s">
        <v>41</v>
      </c>
      <c r="C148" s="1">
        <v>45444</v>
      </c>
      <c r="D148">
        <v>93</v>
      </c>
      <c r="E148">
        <v>5</v>
      </c>
      <c r="F148">
        <v>85.65</v>
      </c>
      <c r="G148">
        <v>5</v>
      </c>
      <c r="H148" s="2">
        <v>1</v>
      </c>
      <c r="I148">
        <v>3913.17</v>
      </c>
      <c r="J148">
        <v>2</v>
      </c>
      <c r="K148" s="2">
        <v>9.5700000000000007E-2</v>
      </c>
    </row>
    <row r="149" spans="1:11" x14ac:dyDescent="0.3">
      <c r="A149" t="s">
        <v>29</v>
      </c>
      <c r="B149" t="s">
        <v>41</v>
      </c>
      <c r="C149" s="1">
        <v>45444</v>
      </c>
      <c r="D149">
        <v>28</v>
      </c>
      <c r="E149">
        <v>16</v>
      </c>
      <c r="F149">
        <v>506.95</v>
      </c>
      <c r="G149">
        <v>6</v>
      </c>
      <c r="H149" s="2">
        <v>0.375</v>
      </c>
      <c r="I149">
        <v>3993.03</v>
      </c>
      <c r="J149">
        <v>3</v>
      </c>
      <c r="K149" s="2">
        <v>3.0600000000000002E-2</v>
      </c>
    </row>
    <row r="150" spans="1:11" x14ac:dyDescent="0.3">
      <c r="A150" t="s">
        <v>30</v>
      </c>
      <c r="B150" t="s">
        <v>41</v>
      </c>
      <c r="C150" s="1">
        <v>45444</v>
      </c>
      <c r="D150">
        <v>88</v>
      </c>
      <c r="E150">
        <v>18</v>
      </c>
      <c r="F150">
        <v>181.21</v>
      </c>
      <c r="G150">
        <v>4</v>
      </c>
      <c r="H150" s="2">
        <v>0.22222222222222221</v>
      </c>
      <c r="I150">
        <v>377.13</v>
      </c>
      <c r="J150">
        <v>2</v>
      </c>
      <c r="K150" s="2">
        <v>0.10009999999999999</v>
      </c>
    </row>
    <row r="151" spans="1:11" x14ac:dyDescent="0.3">
      <c r="A151" t="s">
        <v>31</v>
      </c>
      <c r="B151" t="s">
        <v>41</v>
      </c>
      <c r="C151" s="1">
        <v>45444</v>
      </c>
      <c r="D151">
        <v>69</v>
      </c>
      <c r="E151">
        <v>16</v>
      </c>
      <c r="F151">
        <v>495.32</v>
      </c>
      <c r="G151">
        <v>0</v>
      </c>
      <c r="H151" s="2">
        <v>0</v>
      </c>
      <c r="I151">
        <v>1262.99</v>
      </c>
      <c r="J151">
        <v>1</v>
      </c>
      <c r="K151" s="2">
        <v>1E-3</v>
      </c>
    </row>
    <row r="152" spans="1:11" x14ac:dyDescent="0.3">
      <c r="A152" t="s">
        <v>32</v>
      </c>
      <c r="B152" t="s">
        <v>41</v>
      </c>
      <c r="C152" s="1">
        <v>45444</v>
      </c>
      <c r="D152">
        <v>21</v>
      </c>
      <c r="E152">
        <v>16</v>
      </c>
      <c r="F152">
        <v>315.91000000000003</v>
      </c>
      <c r="G152">
        <v>1</v>
      </c>
      <c r="H152" s="2">
        <v>6.25E-2</v>
      </c>
      <c r="I152">
        <v>1455.83</v>
      </c>
      <c r="J152">
        <v>3</v>
      </c>
      <c r="K152" s="2">
        <v>5.1299999999999998E-2</v>
      </c>
    </row>
    <row r="153" spans="1:11" x14ac:dyDescent="0.3">
      <c r="A153" t="s">
        <v>33</v>
      </c>
      <c r="B153" t="s">
        <v>41</v>
      </c>
      <c r="C153" s="1">
        <v>45444</v>
      </c>
      <c r="D153">
        <v>92</v>
      </c>
      <c r="E153">
        <v>5</v>
      </c>
      <c r="F153">
        <v>569.75</v>
      </c>
      <c r="G153">
        <v>2</v>
      </c>
      <c r="H153" s="2">
        <v>0.4</v>
      </c>
      <c r="I153">
        <v>3734.43</v>
      </c>
      <c r="J153">
        <v>2</v>
      </c>
      <c r="K153" s="2">
        <v>2.76E-2</v>
      </c>
    </row>
    <row r="154" spans="1:11" x14ac:dyDescent="0.3">
      <c r="A154" t="s">
        <v>34</v>
      </c>
      <c r="B154" t="s">
        <v>41</v>
      </c>
      <c r="C154" s="1">
        <v>45444</v>
      </c>
      <c r="D154">
        <v>58</v>
      </c>
      <c r="E154">
        <v>7</v>
      </c>
      <c r="F154">
        <v>173.24</v>
      </c>
      <c r="G154">
        <v>7</v>
      </c>
      <c r="H154" s="2">
        <v>1</v>
      </c>
      <c r="I154">
        <v>525.73</v>
      </c>
      <c r="J154">
        <v>1</v>
      </c>
      <c r="K154" s="2">
        <v>8.2299999999999998E-2</v>
      </c>
    </row>
    <row r="155" spans="1:11" x14ac:dyDescent="0.3">
      <c r="A155" t="s">
        <v>35</v>
      </c>
      <c r="B155" t="s">
        <v>41</v>
      </c>
      <c r="C155" s="1">
        <v>45444</v>
      </c>
      <c r="D155">
        <v>114</v>
      </c>
      <c r="E155">
        <v>13</v>
      </c>
      <c r="F155">
        <v>364.35</v>
      </c>
      <c r="G155">
        <v>0</v>
      </c>
      <c r="H155" s="2">
        <v>0</v>
      </c>
      <c r="I155">
        <v>2988.28</v>
      </c>
      <c r="J155">
        <v>3</v>
      </c>
      <c r="K155" s="2">
        <v>2.58E-2</v>
      </c>
    </row>
    <row r="156" spans="1:11" x14ac:dyDescent="0.3">
      <c r="A156" t="s">
        <v>37</v>
      </c>
      <c r="B156" t="s">
        <v>41</v>
      </c>
      <c r="C156" s="1">
        <v>45444</v>
      </c>
      <c r="D156">
        <v>35</v>
      </c>
      <c r="E156">
        <v>12</v>
      </c>
      <c r="F156">
        <v>515.24</v>
      </c>
      <c r="G156">
        <v>5</v>
      </c>
      <c r="H156" s="2">
        <v>0.41666666666666669</v>
      </c>
      <c r="I156">
        <v>224.24</v>
      </c>
      <c r="J156">
        <v>2</v>
      </c>
      <c r="K156" s="2">
        <v>6.9800000000000001E-2</v>
      </c>
    </row>
    <row r="157" spans="1:11" x14ac:dyDescent="0.3">
      <c r="A157" t="s">
        <v>38</v>
      </c>
      <c r="B157" t="s">
        <v>41</v>
      </c>
      <c r="C157" s="1">
        <v>45444</v>
      </c>
      <c r="D157">
        <v>35</v>
      </c>
      <c r="E157">
        <v>16</v>
      </c>
      <c r="F157">
        <v>351.71</v>
      </c>
      <c r="G157">
        <v>9</v>
      </c>
      <c r="H157" s="2">
        <v>0.5625</v>
      </c>
      <c r="I157">
        <v>3984.69</v>
      </c>
      <c r="J157">
        <v>1</v>
      </c>
      <c r="K157" s="2">
        <v>7.4099999999999999E-2</v>
      </c>
    </row>
    <row r="158" spans="1:11" x14ac:dyDescent="0.3">
      <c r="A158" t="s">
        <v>11</v>
      </c>
      <c r="B158" t="s">
        <v>41</v>
      </c>
      <c r="C158" s="1">
        <v>45474</v>
      </c>
      <c r="D158">
        <v>71</v>
      </c>
      <c r="E158">
        <v>17</v>
      </c>
      <c r="F158">
        <v>360.1</v>
      </c>
      <c r="G158">
        <v>6</v>
      </c>
      <c r="H158" s="2">
        <v>0.35294117647058826</v>
      </c>
      <c r="I158">
        <v>4444.83</v>
      </c>
      <c r="J158">
        <v>3</v>
      </c>
      <c r="K158" s="2">
        <v>2.9500000000000002E-2</v>
      </c>
    </row>
    <row r="159" spans="1:11" x14ac:dyDescent="0.3">
      <c r="A159" t="s">
        <v>13</v>
      </c>
      <c r="B159" t="s">
        <v>41</v>
      </c>
      <c r="C159" s="1">
        <v>45474</v>
      </c>
      <c r="D159">
        <v>62</v>
      </c>
      <c r="E159">
        <v>13</v>
      </c>
      <c r="F159">
        <v>364.64</v>
      </c>
      <c r="G159">
        <v>4</v>
      </c>
      <c r="H159" s="2">
        <v>0.30769230769230771</v>
      </c>
      <c r="I159">
        <v>3704.33</v>
      </c>
      <c r="J159">
        <v>2</v>
      </c>
      <c r="K159" s="2">
        <v>3.7499999999999999E-2</v>
      </c>
    </row>
    <row r="160" spans="1:11" x14ac:dyDescent="0.3">
      <c r="A160" t="s">
        <v>14</v>
      </c>
      <c r="B160" t="s">
        <v>41</v>
      </c>
      <c r="C160" s="1">
        <v>45474</v>
      </c>
      <c r="D160">
        <v>53</v>
      </c>
      <c r="E160">
        <v>14</v>
      </c>
      <c r="F160">
        <v>367.56</v>
      </c>
      <c r="G160">
        <v>2</v>
      </c>
      <c r="H160" s="2">
        <v>0.14285714285714285</v>
      </c>
      <c r="I160">
        <v>3514.07</v>
      </c>
      <c r="J160">
        <v>1</v>
      </c>
      <c r="K160" s="2">
        <v>4.0099999999999997E-2</v>
      </c>
    </row>
    <row r="161" spans="1:11" x14ac:dyDescent="0.3">
      <c r="A161" t="s">
        <v>15</v>
      </c>
      <c r="B161" t="s">
        <v>41</v>
      </c>
      <c r="C161" s="1">
        <v>45474</v>
      </c>
      <c r="D161">
        <v>18</v>
      </c>
      <c r="E161">
        <v>6</v>
      </c>
      <c r="F161">
        <v>76.27</v>
      </c>
      <c r="G161">
        <v>4</v>
      </c>
      <c r="H161" s="2">
        <v>0.66666666666666663</v>
      </c>
      <c r="I161">
        <v>1597.98</v>
      </c>
      <c r="J161">
        <v>1</v>
      </c>
      <c r="K161" s="2">
        <v>2.81E-2</v>
      </c>
    </row>
    <row r="162" spans="1:11" x14ac:dyDescent="0.3">
      <c r="A162" t="s">
        <v>16</v>
      </c>
      <c r="B162" t="s">
        <v>41</v>
      </c>
      <c r="C162" s="1">
        <v>45474</v>
      </c>
      <c r="D162">
        <v>71</v>
      </c>
      <c r="E162">
        <v>12</v>
      </c>
      <c r="F162">
        <v>487.04</v>
      </c>
      <c r="G162">
        <v>5</v>
      </c>
      <c r="H162" s="2">
        <v>0.41666666666666669</v>
      </c>
      <c r="I162">
        <v>1004.9</v>
      </c>
      <c r="J162">
        <v>3</v>
      </c>
      <c r="K162" s="2">
        <v>4.2099999999999999E-2</v>
      </c>
    </row>
    <row r="163" spans="1:11" x14ac:dyDescent="0.3">
      <c r="A163" t="s">
        <v>17</v>
      </c>
      <c r="B163" t="s">
        <v>41</v>
      </c>
      <c r="C163" s="1">
        <v>45474</v>
      </c>
      <c r="D163">
        <v>70</v>
      </c>
      <c r="E163">
        <v>5</v>
      </c>
      <c r="F163">
        <v>491.31</v>
      </c>
      <c r="G163">
        <v>3</v>
      </c>
      <c r="H163" s="2">
        <v>0.6</v>
      </c>
      <c r="I163">
        <v>3289.06</v>
      </c>
      <c r="J163">
        <v>2</v>
      </c>
      <c r="K163" s="2">
        <v>1.1299999999999999E-2</v>
      </c>
    </row>
    <row r="164" spans="1:11" x14ac:dyDescent="0.3">
      <c r="A164" t="s">
        <v>18</v>
      </c>
      <c r="B164" t="s">
        <v>41</v>
      </c>
      <c r="C164" s="1">
        <v>45474</v>
      </c>
      <c r="D164">
        <v>77</v>
      </c>
      <c r="E164">
        <v>15</v>
      </c>
      <c r="F164">
        <v>282.58999999999997</v>
      </c>
      <c r="G164">
        <v>2</v>
      </c>
      <c r="H164" s="2">
        <v>0.13333333333333333</v>
      </c>
      <c r="I164">
        <v>2296.14</v>
      </c>
      <c r="J164">
        <v>1</v>
      </c>
      <c r="K164" s="2">
        <v>9.5799999999999996E-2</v>
      </c>
    </row>
    <row r="165" spans="1:11" x14ac:dyDescent="0.3">
      <c r="A165" t="s">
        <v>19</v>
      </c>
      <c r="B165" t="s">
        <v>41</v>
      </c>
      <c r="C165" s="1">
        <v>45474</v>
      </c>
      <c r="D165">
        <v>50</v>
      </c>
      <c r="E165">
        <v>9</v>
      </c>
      <c r="F165">
        <v>246.06</v>
      </c>
      <c r="G165">
        <v>5</v>
      </c>
      <c r="H165" s="2">
        <v>0.55555555555555558</v>
      </c>
      <c r="I165">
        <v>4227.22</v>
      </c>
      <c r="J165">
        <v>3</v>
      </c>
      <c r="K165" s="2">
        <v>3.7200000000000004E-2</v>
      </c>
    </row>
    <row r="166" spans="1:11" x14ac:dyDescent="0.3">
      <c r="A166" t="s">
        <v>20</v>
      </c>
      <c r="B166" t="s">
        <v>41</v>
      </c>
      <c r="C166" s="1">
        <v>45474</v>
      </c>
      <c r="D166">
        <v>31</v>
      </c>
      <c r="E166">
        <v>15</v>
      </c>
      <c r="F166">
        <v>347.38</v>
      </c>
      <c r="G166">
        <v>10</v>
      </c>
      <c r="H166" s="2">
        <v>0.66666666666666663</v>
      </c>
      <c r="I166">
        <v>1101.06</v>
      </c>
      <c r="J166">
        <v>2</v>
      </c>
      <c r="K166" s="2">
        <v>6.0100000000000001E-2</v>
      </c>
    </row>
    <row r="167" spans="1:11" x14ac:dyDescent="0.3">
      <c r="A167" t="s">
        <v>21</v>
      </c>
      <c r="B167" t="s">
        <v>41</v>
      </c>
      <c r="C167" s="1">
        <v>45474</v>
      </c>
      <c r="D167">
        <v>77</v>
      </c>
      <c r="E167">
        <v>16</v>
      </c>
      <c r="F167">
        <v>335.59</v>
      </c>
      <c r="G167">
        <v>7</v>
      </c>
      <c r="H167" s="2">
        <v>0.4375</v>
      </c>
      <c r="I167">
        <v>1087.4100000000001</v>
      </c>
      <c r="J167">
        <v>1</v>
      </c>
      <c r="K167" s="2">
        <v>3.6900000000000002E-2</v>
      </c>
    </row>
    <row r="168" spans="1:11" x14ac:dyDescent="0.3">
      <c r="A168" t="s">
        <v>22</v>
      </c>
      <c r="B168" t="s">
        <v>41</v>
      </c>
      <c r="C168" s="1">
        <v>45474</v>
      </c>
      <c r="D168">
        <v>17</v>
      </c>
      <c r="E168">
        <v>8</v>
      </c>
      <c r="F168">
        <v>208.21</v>
      </c>
      <c r="G168">
        <v>4</v>
      </c>
      <c r="H168" s="2">
        <v>0.5</v>
      </c>
      <c r="I168">
        <v>828.73</v>
      </c>
      <c r="J168">
        <v>3</v>
      </c>
      <c r="K168" s="2">
        <v>7.4200000000000002E-2</v>
      </c>
    </row>
    <row r="169" spans="1:11" x14ac:dyDescent="0.3">
      <c r="A169" t="s">
        <v>23</v>
      </c>
      <c r="B169" t="s">
        <v>41</v>
      </c>
      <c r="C169" s="1">
        <v>45474</v>
      </c>
      <c r="D169">
        <v>32</v>
      </c>
      <c r="E169">
        <v>6</v>
      </c>
      <c r="F169">
        <v>553.58000000000004</v>
      </c>
      <c r="G169">
        <v>3</v>
      </c>
      <c r="H169" s="2">
        <v>0.5</v>
      </c>
      <c r="I169">
        <v>3939.56</v>
      </c>
      <c r="J169">
        <v>2</v>
      </c>
      <c r="K169" s="2">
        <v>3.78E-2</v>
      </c>
    </row>
    <row r="170" spans="1:11" x14ac:dyDescent="0.3">
      <c r="A170" t="s">
        <v>24</v>
      </c>
      <c r="B170" t="s">
        <v>41</v>
      </c>
      <c r="C170" s="1">
        <v>45474</v>
      </c>
      <c r="D170">
        <v>72</v>
      </c>
      <c r="E170">
        <v>21</v>
      </c>
      <c r="F170">
        <v>604.57000000000005</v>
      </c>
      <c r="G170">
        <v>2</v>
      </c>
      <c r="H170" s="2">
        <v>9.5238095238095233E-2</v>
      </c>
      <c r="I170">
        <v>327.82</v>
      </c>
      <c r="J170">
        <v>1</v>
      </c>
      <c r="K170" s="2">
        <v>3.6699999999999997E-2</v>
      </c>
    </row>
    <row r="171" spans="1:11" x14ac:dyDescent="0.3">
      <c r="A171" t="s">
        <v>25</v>
      </c>
      <c r="B171" t="s">
        <v>41</v>
      </c>
      <c r="C171" s="1">
        <v>45474</v>
      </c>
      <c r="D171">
        <v>34</v>
      </c>
      <c r="E171">
        <v>7</v>
      </c>
      <c r="F171">
        <v>199.39</v>
      </c>
      <c r="G171">
        <v>1</v>
      </c>
      <c r="H171" s="2">
        <v>0.14285714285714285</v>
      </c>
      <c r="I171">
        <v>3767.74</v>
      </c>
      <c r="J171">
        <v>3</v>
      </c>
      <c r="K171" s="2">
        <v>3.85E-2</v>
      </c>
    </row>
    <row r="172" spans="1:11" x14ac:dyDescent="0.3">
      <c r="A172" t="s">
        <v>26</v>
      </c>
      <c r="B172" t="s">
        <v>41</v>
      </c>
      <c r="C172" s="1">
        <v>45474</v>
      </c>
      <c r="D172">
        <v>71</v>
      </c>
      <c r="E172">
        <v>9</v>
      </c>
      <c r="F172">
        <v>220.4</v>
      </c>
      <c r="G172">
        <v>2</v>
      </c>
      <c r="H172" s="2">
        <v>0.22222222222222221</v>
      </c>
      <c r="I172">
        <v>692.29</v>
      </c>
      <c r="J172">
        <v>2</v>
      </c>
      <c r="K172" s="2">
        <v>2.8999999999999998E-2</v>
      </c>
    </row>
    <row r="173" spans="1:11" x14ac:dyDescent="0.3">
      <c r="A173" t="s">
        <v>27</v>
      </c>
      <c r="B173" t="s">
        <v>41</v>
      </c>
      <c r="C173" s="1">
        <v>45474</v>
      </c>
      <c r="D173">
        <v>83</v>
      </c>
      <c r="E173">
        <v>5</v>
      </c>
      <c r="F173">
        <v>166.85</v>
      </c>
      <c r="G173">
        <v>4</v>
      </c>
      <c r="H173" s="2">
        <v>0.8</v>
      </c>
      <c r="I173">
        <v>1364.24</v>
      </c>
      <c r="J173">
        <v>1</v>
      </c>
      <c r="K173" s="2">
        <v>8.3100000000000007E-2</v>
      </c>
    </row>
    <row r="174" spans="1:11" x14ac:dyDescent="0.3">
      <c r="A174" t="s">
        <v>28</v>
      </c>
      <c r="B174" t="s">
        <v>41</v>
      </c>
      <c r="C174" s="1">
        <v>45474</v>
      </c>
      <c r="D174">
        <v>71</v>
      </c>
      <c r="E174">
        <v>7</v>
      </c>
      <c r="F174">
        <v>78.53</v>
      </c>
      <c r="G174">
        <v>4</v>
      </c>
      <c r="H174" s="2">
        <v>0.5714285714285714</v>
      </c>
      <c r="I174">
        <v>3652.64</v>
      </c>
      <c r="J174">
        <v>3</v>
      </c>
      <c r="K174" s="2">
        <v>8.6999999999999994E-2</v>
      </c>
    </row>
    <row r="175" spans="1:11" x14ac:dyDescent="0.3">
      <c r="A175" t="s">
        <v>29</v>
      </c>
      <c r="B175" t="s">
        <v>41</v>
      </c>
      <c r="C175" s="1">
        <v>45474</v>
      </c>
      <c r="D175">
        <v>24</v>
      </c>
      <c r="E175">
        <v>13</v>
      </c>
      <c r="F175">
        <v>471.72</v>
      </c>
      <c r="G175">
        <v>7</v>
      </c>
      <c r="H175" s="2">
        <v>0.53846153846153844</v>
      </c>
      <c r="I175">
        <v>3588.89</v>
      </c>
      <c r="J175">
        <v>2</v>
      </c>
      <c r="K175" s="2">
        <v>3.5400000000000001E-2</v>
      </c>
    </row>
    <row r="176" spans="1:11" x14ac:dyDescent="0.3">
      <c r="A176" t="s">
        <v>30</v>
      </c>
      <c r="B176" t="s">
        <v>41</v>
      </c>
      <c r="C176" s="1">
        <v>45474</v>
      </c>
      <c r="D176">
        <v>75</v>
      </c>
      <c r="E176">
        <v>17</v>
      </c>
      <c r="F176">
        <v>176.07</v>
      </c>
      <c r="G176">
        <v>5</v>
      </c>
      <c r="H176" s="2">
        <v>0.29411764705882354</v>
      </c>
      <c r="I176">
        <v>458.18</v>
      </c>
      <c r="J176">
        <v>1</v>
      </c>
      <c r="K176" s="2">
        <v>9.9399999999999988E-2</v>
      </c>
    </row>
    <row r="177" spans="1:11" x14ac:dyDescent="0.3">
      <c r="A177" t="s">
        <v>31</v>
      </c>
      <c r="B177" t="s">
        <v>41</v>
      </c>
      <c r="C177" s="1">
        <v>45474</v>
      </c>
      <c r="D177">
        <v>76</v>
      </c>
      <c r="E177">
        <v>11</v>
      </c>
      <c r="F177">
        <v>486.93</v>
      </c>
      <c r="G177">
        <v>0</v>
      </c>
      <c r="H177" s="2">
        <v>0</v>
      </c>
      <c r="I177">
        <v>1219.29</v>
      </c>
      <c r="J177">
        <v>3</v>
      </c>
      <c r="K177" s="2">
        <v>1E-3</v>
      </c>
    </row>
    <row r="178" spans="1:11" x14ac:dyDescent="0.3">
      <c r="A178" t="s">
        <v>32</v>
      </c>
      <c r="B178" t="s">
        <v>41</v>
      </c>
      <c r="C178" s="1">
        <v>45474</v>
      </c>
      <c r="D178">
        <v>20</v>
      </c>
      <c r="E178">
        <v>14</v>
      </c>
      <c r="F178">
        <v>283.66000000000003</v>
      </c>
      <c r="G178">
        <v>2</v>
      </c>
      <c r="H178" s="2">
        <v>0.14285714285714285</v>
      </c>
      <c r="I178">
        <v>1494.14</v>
      </c>
      <c r="J178">
        <v>2</v>
      </c>
      <c r="K178" s="2">
        <v>5.7800000000000004E-2</v>
      </c>
    </row>
    <row r="179" spans="1:11" x14ac:dyDescent="0.3">
      <c r="A179" t="s">
        <v>33</v>
      </c>
      <c r="B179" t="s">
        <v>41</v>
      </c>
      <c r="C179" s="1">
        <v>45474</v>
      </c>
      <c r="D179">
        <v>79</v>
      </c>
      <c r="E179">
        <v>6</v>
      </c>
      <c r="F179">
        <v>536.04999999999995</v>
      </c>
      <c r="G179">
        <v>1</v>
      </c>
      <c r="H179" s="2">
        <v>0.16666666666666666</v>
      </c>
      <c r="I179">
        <v>3682.29</v>
      </c>
      <c r="J179">
        <v>1</v>
      </c>
      <c r="K179" s="2">
        <v>3.2099999999999997E-2</v>
      </c>
    </row>
    <row r="180" spans="1:11" x14ac:dyDescent="0.3">
      <c r="A180" t="s">
        <v>34</v>
      </c>
      <c r="B180" t="s">
        <v>41</v>
      </c>
      <c r="C180" s="1">
        <v>45474</v>
      </c>
      <c r="D180">
        <v>82</v>
      </c>
      <c r="E180">
        <v>9</v>
      </c>
      <c r="F180">
        <v>171.86</v>
      </c>
      <c r="G180">
        <v>7</v>
      </c>
      <c r="H180" s="2">
        <v>0.77777777777777779</v>
      </c>
      <c r="I180">
        <v>506.88</v>
      </c>
      <c r="J180">
        <v>3</v>
      </c>
      <c r="K180" s="2">
        <v>9.4100000000000003E-2</v>
      </c>
    </row>
    <row r="181" spans="1:11" x14ac:dyDescent="0.3">
      <c r="A181" t="s">
        <v>35</v>
      </c>
      <c r="B181" t="s">
        <v>41</v>
      </c>
      <c r="C181" s="1">
        <v>45474</v>
      </c>
      <c r="D181">
        <v>103</v>
      </c>
      <c r="E181">
        <v>15</v>
      </c>
      <c r="F181">
        <v>359.16</v>
      </c>
      <c r="G181">
        <v>1</v>
      </c>
      <c r="H181" s="2">
        <v>6.6666666666666666E-2</v>
      </c>
      <c r="I181">
        <v>2949.94</v>
      </c>
      <c r="J181">
        <v>2</v>
      </c>
      <c r="K181" s="2">
        <v>2.3599999999999999E-2</v>
      </c>
    </row>
    <row r="182" spans="1:11" x14ac:dyDescent="0.3">
      <c r="A182" t="s">
        <v>37</v>
      </c>
      <c r="B182" t="s">
        <v>41</v>
      </c>
      <c r="C182" s="1">
        <v>45474</v>
      </c>
      <c r="D182">
        <v>41</v>
      </c>
      <c r="E182">
        <v>9</v>
      </c>
      <c r="F182">
        <v>569.97</v>
      </c>
      <c r="G182">
        <v>5</v>
      </c>
      <c r="H182" s="2">
        <v>0.55555555555555558</v>
      </c>
      <c r="I182">
        <v>259.86</v>
      </c>
      <c r="J182">
        <v>1</v>
      </c>
      <c r="K182" s="2">
        <v>6.3299999999999995E-2</v>
      </c>
    </row>
    <row r="183" spans="1:11" x14ac:dyDescent="0.3">
      <c r="A183" t="s">
        <v>38</v>
      </c>
      <c r="B183" t="s">
        <v>41</v>
      </c>
      <c r="C183" s="1">
        <v>45474</v>
      </c>
      <c r="D183">
        <v>38</v>
      </c>
      <c r="E183">
        <v>14</v>
      </c>
      <c r="F183">
        <v>359.22</v>
      </c>
      <c r="G183">
        <v>8</v>
      </c>
      <c r="H183" s="2">
        <v>0.5714285714285714</v>
      </c>
      <c r="I183">
        <v>3846.34</v>
      </c>
      <c r="J183">
        <v>3</v>
      </c>
      <c r="K183" s="2">
        <v>8.5900000000000004E-2</v>
      </c>
    </row>
    <row r="184" spans="1:11" x14ac:dyDescent="0.3">
      <c r="A184" t="s">
        <v>11</v>
      </c>
      <c r="B184" t="s">
        <v>41</v>
      </c>
      <c r="C184" s="1">
        <v>45505</v>
      </c>
      <c r="D184">
        <v>71</v>
      </c>
      <c r="E184">
        <v>15</v>
      </c>
      <c r="F184">
        <v>297.05</v>
      </c>
      <c r="G184">
        <v>6</v>
      </c>
      <c r="H184" s="2">
        <v>0.4</v>
      </c>
      <c r="I184">
        <v>4043.62</v>
      </c>
      <c r="J184">
        <v>2</v>
      </c>
      <c r="K184" s="2">
        <v>2.7200000000000002E-2</v>
      </c>
    </row>
    <row r="185" spans="1:11" x14ac:dyDescent="0.3">
      <c r="A185" t="s">
        <v>13</v>
      </c>
      <c r="B185" t="s">
        <v>41</v>
      </c>
      <c r="C185" s="1">
        <v>45505</v>
      </c>
      <c r="D185">
        <v>66</v>
      </c>
      <c r="E185">
        <v>13</v>
      </c>
      <c r="F185">
        <v>376.76</v>
      </c>
      <c r="G185">
        <v>5</v>
      </c>
      <c r="H185" s="2">
        <v>0.38461538461538464</v>
      </c>
      <c r="I185">
        <v>3819.73</v>
      </c>
      <c r="J185">
        <v>1</v>
      </c>
      <c r="K185" s="2">
        <v>4.4900000000000002E-2</v>
      </c>
    </row>
    <row r="186" spans="1:11" x14ac:dyDescent="0.3">
      <c r="A186" t="s">
        <v>14</v>
      </c>
      <c r="B186" t="s">
        <v>41</v>
      </c>
      <c r="C186" s="1">
        <v>45505</v>
      </c>
      <c r="D186">
        <v>53</v>
      </c>
      <c r="E186">
        <v>15</v>
      </c>
      <c r="F186">
        <v>379.29</v>
      </c>
      <c r="G186">
        <v>2</v>
      </c>
      <c r="H186" s="2">
        <v>0.13333333333333333</v>
      </c>
      <c r="I186">
        <v>3409.69</v>
      </c>
      <c r="J186">
        <v>1</v>
      </c>
      <c r="K186" s="2">
        <v>4.41E-2</v>
      </c>
    </row>
    <row r="187" spans="1:11" x14ac:dyDescent="0.3">
      <c r="A187" t="s">
        <v>15</v>
      </c>
      <c r="B187" t="s">
        <v>41</v>
      </c>
      <c r="C187" s="1">
        <v>45505</v>
      </c>
      <c r="D187">
        <v>18</v>
      </c>
      <c r="E187">
        <v>8</v>
      </c>
      <c r="F187">
        <v>82.91</v>
      </c>
      <c r="G187">
        <v>3</v>
      </c>
      <c r="H187" s="2">
        <v>0.375</v>
      </c>
      <c r="I187">
        <v>1387.86</v>
      </c>
      <c r="J187">
        <v>3</v>
      </c>
      <c r="K187" s="2">
        <v>3.0099999999999998E-2</v>
      </c>
    </row>
    <row r="188" spans="1:11" x14ac:dyDescent="0.3">
      <c r="A188" t="s">
        <v>16</v>
      </c>
      <c r="B188" t="s">
        <v>41</v>
      </c>
      <c r="C188" s="1">
        <v>45505</v>
      </c>
      <c r="D188">
        <v>72</v>
      </c>
      <c r="E188">
        <v>14</v>
      </c>
      <c r="F188">
        <v>437.47</v>
      </c>
      <c r="G188">
        <v>4</v>
      </c>
      <c r="H188" s="2">
        <v>0.2857142857142857</v>
      </c>
      <c r="I188">
        <v>958.02</v>
      </c>
      <c r="J188">
        <v>2</v>
      </c>
      <c r="K188" s="2">
        <v>3.9100000000000003E-2</v>
      </c>
    </row>
    <row r="189" spans="1:11" x14ac:dyDescent="0.3">
      <c r="A189" t="s">
        <v>17</v>
      </c>
      <c r="B189" t="s">
        <v>41</v>
      </c>
      <c r="C189" s="1">
        <v>45505</v>
      </c>
      <c r="D189">
        <v>64</v>
      </c>
      <c r="E189">
        <v>7</v>
      </c>
      <c r="F189">
        <v>554.20000000000005</v>
      </c>
      <c r="G189">
        <v>2</v>
      </c>
      <c r="H189" s="2">
        <v>0.2857142857142857</v>
      </c>
      <c r="I189">
        <v>3620.9</v>
      </c>
      <c r="J189">
        <v>1</v>
      </c>
      <c r="K189" s="2">
        <v>1.23E-2</v>
      </c>
    </row>
    <row r="190" spans="1:11" x14ac:dyDescent="0.3">
      <c r="A190" t="s">
        <v>18</v>
      </c>
      <c r="B190" t="s">
        <v>41</v>
      </c>
      <c r="C190" s="1">
        <v>45505</v>
      </c>
      <c r="D190">
        <v>76</v>
      </c>
      <c r="E190">
        <v>21</v>
      </c>
      <c r="F190">
        <v>293.93</v>
      </c>
      <c r="G190">
        <v>2</v>
      </c>
      <c r="H190" s="2">
        <v>9.5238095238095233E-2</v>
      </c>
      <c r="I190">
        <v>2531.4</v>
      </c>
      <c r="J190">
        <v>3</v>
      </c>
      <c r="K190" s="2">
        <v>0.1012</v>
      </c>
    </row>
    <row r="191" spans="1:11" x14ac:dyDescent="0.3">
      <c r="A191" t="s">
        <v>19</v>
      </c>
      <c r="B191" t="s">
        <v>41</v>
      </c>
      <c r="C191" s="1">
        <v>45505</v>
      </c>
      <c r="D191">
        <v>64</v>
      </c>
      <c r="E191">
        <v>9</v>
      </c>
      <c r="F191">
        <v>255.17</v>
      </c>
      <c r="G191">
        <v>6</v>
      </c>
      <c r="H191" s="2">
        <v>0.66666666666666663</v>
      </c>
      <c r="I191">
        <v>4136.6899999999996</v>
      </c>
      <c r="J191">
        <v>2</v>
      </c>
      <c r="K191" s="2">
        <v>3.8199999999999998E-2</v>
      </c>
    </row>
    <row r="192" spans="1:11" x14ac:dyDescent="0.3">
      <c r="A192" t="s">
        <v>20</v>
      </c>
      <c r="B192" t="s">
        <v>41</v>
      </c>
      <c r="C192" s="1">
        <v>45505</v>
      </c>
      <c r="D192">
        <v>26</v>
      </c>
      <c r="E192">
        <v>17</v>
      </c>
      <c r="F192">
        <v>391.73</v>
      </c>
      <c r="G192">
        <v>7</v>
      </c>
      <c r="H192" s="2">
        <v>0.41176470588235292</v>
      </c>
      <c r="I192">
        <v>1166.55</v>
      </c>
      <c r="J192">
        <v>1</v>
      </c>
      <c r="K192" s="2">
        <v>6.1200000000000004E-2</v>
      </c>
    </row>
    <row r="193" spans="1:11" x14ac:dyDescent="0.3">
      <c r="A193" t="s">
        <v>21</v>
      </c>
      <c r="B193" t="s">
        <v>41</v>
      </c>
      <c r="C193" s="1">
        <v>45505</v>
      </c>
      <c r="D193">
        <v>65</v>
      </c>
      <c r="E193">
        <v>13</v>
      </c>
      <c r="F193">
        <v>324.26</v>
      </c>
      <c r="G193">
        <v>7</v>
      </c>
      <c r="H193" s="2">
        <v>0.53846153846153844</v>
      </c>
      <c r="I193">
        <v>1044.8599999999999</v>
      </c>
      <c r="J193">
        <v>3</v>
      </c>
      <c r="K193" s="2">
        <v>3.5200000000000002E-2</v>
      </c>
    </row>
    <row r="194" spans="1:11" x14ac:dyDescent="0.3">
      <c r="A194" t="s">
        <v>22</v>
      </c>
      <c r="B194" t="s">
        <v>41</v>
      </c>
      <c r="C194" s="1">
        <v>45505</v>
      </c>
      <c r="D194">
        <v>22</v>
      </c>
      <c r="E194">
        <v>9</v>
      </c>
      <c r="F194">
        <v>211.28</v>
      </c>
      <c r="G194">
        <v>8</v>
      </c>
      <c r="H194" s="2">
        <v>0.88888888888888884</v>
      </c>
      <c r="I194">
        <v>772.77</v>
      </c>
      <c r="J194">
        <v>2</v>
      </c>
      <c r="K194" s="2">
        <v>8.0600000000000005E-2</v>
      </c>
    </row>
    <row r="195" spans="1:11" x14ac:dyDescent="0.3">
      <c r="A195" t="s">
        <v>23</v>
      </c>
      <c r="B195" t="s">
        <v>41</v>
      </c>
      <c r="C195" s="1">
        <v>45505</v>
      </c>
      <c r="D195">
        <v>30</v>
      </c>
      <c r="E195">
        <v>6</v>
      </c>
      <c r="F195">
        <v>549.26</v>
      </c>
      <c r="G195">
        <v>2</v>
      </c>
      <c r="H195" s="2">
        <v>0.33333333333333331</v>
      </c>
      <c r="I195">
        <v>3868.36</v>
      </c>
      <c r="J195">
        <v>1</v>
      </c>
      <c r="K195" s="2">
        <v>4.2800000000000005E-2</v>
      </c>
    </row>
    <row r="196" spans="1:11" x14ac:dyDescent="0.3">
      <c r="A196" t="s">
        <v>24</v>
      </c>
      <c r="B196" t="s">
        <v>41</v>
      </c>
      <c r="C196" s="1">
        <v>45505</v>
      </c>
      <c r="D196">
        <v>83</v>
      </c>
      <c r="E196">
        <v>15</v>
      </c>
      <c r="F196">
        <v>601.05999999999995</v>
      </c>
      <c r="G196">
        <v>3</v>
      </c>
      <c r="H196" s="2">
        <v>0.2</v>
      </c>
      <c r="I196">
        <v>350.62</v>
      </c>
      <c r="J196">
        <v>3</v>
      </c>
      <c r="K196" s="2">
        <v>3.6600000000000001E-2</v>
      </c>
    </row>
    <row r="197" spans="1:11" x14ac:dyDescent="0.3">
      <c r="A197" t="s">
        <v>25</v>
      </c>
      <c r="B197" t="s">
        <v>41</v>
      </c>
      <c r="C197" s="1">
        <v>45505</v>
      </c>
      <c r="D197">
        <v>35</v>
      </c>
      <c r="E197">
        <v>6</v>
      </c>
      <c r="F197">
        <v>192.19</v>
      </c>
      <c r="G197">
        <v>1</v>
      </c>
      <c r="H197" s="2">
        <v>0.16666666666666666</v>
      </c>
      <c r="I197">
        <v>3963.32</v>
      </c>
      <c r="J197">
        <v>2</v>
      </c>
      <c r="K197" s="2">
        <v>3.9800000000000002E-2</v>
      </c>
    </row>
    <row r="198" spans="1:11" x14ac:dyDescent="0.3">
      <c r="A198" t="s">
        <v>26</v>
      </c>
      <c r="B198" t="s">
        <v>41</v>
      </c>
      <c r="C198" s="1">
        <v>45505</v>
      </c>
      <c r="D198">
        <v>73</v>
      </c>
      <c r="E198">
        <v>8</v>
      </c>
      <c r="F198">
        <v>191.76</v>
      </c>
      <c r="G198">
        <v>3</v>
      </c>
      <c r="H198" s="2">
        <v>0.375</v>
      </c>
      <c r="I198">
        <v>675.97</v>
      </c>
      <c r="J198">
        <v>3</v>
      </c>
      <c r="K198" s="2">
        <v>3.0200000000000001E-2</v>
      </c>
    </row>
    <row r="199" spans="1:11" x14ac:dyDescent="0.3">
      <c r="A199" t="s">
        <v>27</v>
      </c>
      <c r="B199" t="s">
        <v>41</v>
      </c>
      <c r="C199" s="1">
        <v>45505</v>
      </c>
      <c r="D199">
        <v>104</v>
      </c>
      <c r="E199">
        <v>4</v>
      </c>
      <c r="F199">
        <v>169.75</v>
      </c>
      <c r="G199">
        <v>3</v>
      </c>
      <c r="H199" s="2">
        <v>0.75</v>
      </c>
      <c r="I199">
        <v>1255.83</v>
      </c>
      <c r="J199">
        <v>2</v>
      </c>
      <c r="K199" s="2">
        <v>7.7600000000000002E-2</v>
      </c>
    </row>
    <row r="200" spans="1:11" x14ac:dyDescent="0.3">
      <c r="A200" t="s">
        <v>28</v>
      </c>
      <c r="B200" t="s">
        <v>41</v>
      </c>
      <c r="C200" s="1">
        <v>45505</v>
      </c>
      <c r="D200">
        <v>71</v>
      </c>
      <c r="E200">
        <v>6</v>
      </c>
      <c r="F200">
        <v>87.5</v>
      </c>
      <c r="G200">
        <v>3</v>
      </c>
      <c r="H200" s="2">
        <v>0.5</v>
      </c>
      <c r="I200">
        <v>3666.64</v>
      </c>
      <c r="J200">
        <v>1</v>
      </c>
      <c r="K200" s="2">
        <v>9.1300000000000006E-2</v>
      </c>
    </row>
    <row r="201" spans="1:11" x14ac:dyDescent="0.3">
      <c r="A201" t="s">
        <v>29</v>
      </c>
      <c r="B201" t="s">
        <v>41</v>
      </c>
      <c r="C201" s="1">
        <v>45505</v>
      </c>
      <c r="D201">
        <v>22</v>
      </c>
      <c r="E201">
        <v>14</v>
      </c>
      <c r="F201">
        <v>477.3</v>
      </c>
      <c r="G201">
        <v>6</v>
      </c>
      <c r="H201" s="2">
        <v>0.42857142857142855</v>
      </c>
      <c r="I201">
        <v>3790.05</v>
      </c>
      <c r="J201">
        <v>3</v>
      </c>
      <c r="K201" s="2">
        <v>3.32E-2</v>
      </c>
    </row>
    <row r="202" spans="1:11" x14ac:dyDescent="0.3">
      <c r="A202" t="s">
        <v>30</v>
      </c>
      <c r="B202" t="s">
        <v>41</v>
      </c>
      <c r="C202" s="1">
        <v>45505</v>
      </c>
      <c r="D202">
        <v>85</v>
      </c>
      <c r="E202">
        <v>17</v>
      </c>
      <c r="F202">
        <v>187.72</v>
      </c>
      <c r="G202">
        <v>5</v>
      </c>
      <c r="H202" s="2">
        <v>0.29411764705882354</v>
      </c>
      <c r="I202">
        <v>443.22</v>
      </c>
      <c r="J202">
        <v>2</v>
      </c>
      <c r="K202" s="2">
        <v>0.1016</v>
      </c>
    </row>
    <row r="203" spans="1:11" x14ac:dyDescent="0.3">
      <c r="A203" t="s">
        <v>31</v>
      </c>
      <c r="B203" t="s">
        <v>41</v>
      </c>
      <c r="C203" s="1">
        <v>45505</v>
      </c>
      <c r="D203">
        <v>80</v>
      </c>
      <c r="E203">
        <v>13</v>
      </c>
      <c r="F203">
        <v>504.59</v>
      </c>
      <c r="G203">
        <v>0</v>
      </c>
      <c r="H203" s="2">
        <v>0</v>
      </c>
      <c r="I203">
        <v>1265.47</v>
      </c>
      <c r="J203">
        <v>1</v>
      </c>
      <c r="K203" s="2">
        <v>1E-3</v>
      </c>
    </row>
    <row r="204" spans="1:11" x14ac:dyDescent="0.3">
      <c r="A204" t="s">
        <v>32</v>
      </c>
      <c r="B204" t="s">
        <v>41</v>
      </c>
      <c r="C204" s="1">
        <v>45505</v>
      </c>
      <c r="D204">
        <v>18</v>
      </c>
      <c r="E204">
        <v>12</v>
      </c>
      <c r="F204">
        <v>262.26</v>
      </c>
      <c r="G204">
        <v>1</v>
      </c>
      <c r="H204" s="2">
        <v>8.3333333333333329E-2</v>
      </c>
      <c r="I204">
        <v>1573.7</v>
      </c>
      <c r="J204">
        <v>3</v>
      </c>
      <c r="K204" s="2">
        <v>5.1299999999999998E-2</v>
      </c>
    </row>
    <row r="205" spans="1:11" x14ac:dyDescent="0.3">
      <c r="A205" t="s">
        <v>33</v>
      </c>
      <c r="B205" t="s">
        <v>41</v>
      </c>
      <c r="C205" s="1">
        <v>45505</v>
      </c>
      <c r="D205">
        <v>106</v>
      </c>
      <c r="E205">
        <v>6</v>
      </c>
      <c r="F205">
        <v>572.16</v>
      </c>
      <c r="G205">
        <v>2</v>
      </c>
      <c r="H205" s="2">
        <v>0.33333333333333331</v>
      </c>
      <c r="I205">
        <v>3398.37</v>
      </c>
      <c r="J205">
        <v>2</v>
      </c>
      <c r="K205" s="2">
        <v>2.87E-2</v>
      </c>
    </row>
    <row r="206" spans="1:11" x14ac:dyDescent="0.3">
      <c r="A206" t="s">
        <v>34</v>
      </c>
      <c r="B206" t="s">
        <v>41</v>
      </c>
      <c r="C206" s="1">
        <v>45505</v>
      </c>
      <c r="D206">
        <v>71</v>
      </c>
      <c r="E206">
        <v>9</v>
      </c>
      <c r="F206">
        <v>172.96</v>
      </c>
      <c r="G206">
        <v>6</v>
      </c>
      <c r="H206" s="2">
        <v>0.66666666666666663</v>
      </c>
      <c r="I206">
        <v>464.49</v>
      </c>
      <c r="J206">
        <v>1</v>
      </c>
      <c r="K206" s="2">
        <v>8.2699999999999996E-2</v>
      </c>
    </row>
    <row r="207" spans="1:11" x14ac:dyDescent="0.3">
      <c r="A207" t="s">
        <v>35</v>
      </c>
      <c r="B207" t="s">
        <v>41</v>
      </c>
      <c r="C207" s="1">
        <v>45505</v>
      </c>
      <c r="D207">
        <v>115</v>
      </c>
      <c r="E207">
        <v>17</v>
      </c>
      <c r="F207">
        <v>422.48</v>
      </c>
      <c r="G207">
        <v>0</v>
      </c>
      <c r="H207" s="2">
        <v>0</v>
      </c>
      <c r="I207">
        <v>2681.51</v>
      </c>
      <c r="J207">
        <v>3</v>
      </c>
      <c r="K207" s="2">
        <v>2.5000000000000001E-2</v>
      </c>
    </row>
    <row r="208" spans="1:11" x14ac:dyDescent="0.3">
      <c r="A208" t="s">
        <v>37</v>
      </c>
      <c r="B208" t="s">
        <v>41</v>
      </c>
      <c r="C208" s="1">
        <v>45505</v>
      </c>
      <c r="D208">
        <v>34</v>
      </c>
      <c r="E208">
        <v>10</v>
      </c>
      <c r="F208">
        <v>565.11</v>
      </c>
      <c r="G208">
        <v>5</v>
      </c>
      <c r="H208" s="2">
        <v>0.5</v>
      </c>
      <c r="I208">
        <v>222.62</v>
      </c>
      <c r="J208">
        <v>2</v>
      </c>
      <c r="K208" s="2">
        <v>7.1800000000000003E-2</v>
      </c>
    </row>
    <row r="209" spans="1:11" x14ac:dyDescent="0.3">
      <c r="A209" t="s">
        <v>38</v>
      </c>
      <c r="B209" t="s">
        <v>41</v>
      </c>
      <c r="C209" s="1">
        <v>45505</v>
      </c>
      <c r="D209">
        <v>40</v>
      </c>
      <c r="E209">
        <v>17</v>
      </c>
      <c r="F209">
        <v>355.83</v>
      </c>
      <c r="G209">
        <v>6</v>
      </c>
      <c r="H209" s="2">
        <v>0.35294117647058826</v>
      </c>
      <c r="I209">
        <v>4155.8599999999997</v>
      </c>
      <c r="J209">
        <v>1</v>
      </c>
      <c r="K209" s="2">
        <v>8.8000000000000009E-2</v>
      </c>
    </row>
    <row r="210" spans="1:11" x14ac:dyDescent="0.3">
      <c r="A210" t="s">
        <v>11</v>
      </c>
      <c r="B210" t="s">
        <v>41</v>
      </c>
      <c r="C210" s="1">
        <v>45536</v>
      </c>
      <c r="D210">
        <v>51</v>
      </c>
      <c r="E210">
        <v>15</v>
      </c>
      <c r="F210">
        <v>349.71</v>
      </c>
      <c r="G210">
        <v>8</v>
      </c>
      <c r="H210" s="2">
        <v>0.53333333333333333</v>
      </c>
      <c r="I210">
        <v>4017.54</v>
      </c>
      <c r="J210">
        <v>1</v>
      </c>
      <c r="K210" s="2">
        <v>2.92E-2</v>
      </c>
    </row>
    <row r="211" spans="1:11" x14ac:dyDescent="0.3">
      <c r="A211" t="s">
        <v>13</v>
      </c>
      <c r="B211" t="s">
        <v>41</v>
      </c>
      <c r="C211" s="1">
        <v>45536</v>
      </c>
      <c r="D211">
        <v>79</v>
      </c>
      <c r="E211">
        <v>9</v>
      </c>
      <c r="F211">
        <v>358.67</v>
      </c>
      <c r="G211">
        <v>5</v>
      </c>
      <c r="H211" s="2">
        <v>0.55555555555555558</v>
      </c>
      <c r="I211">
        <v>3658.64</v>
      </c>
      <c r="J211">
        <v>3</v>
      </c>
      <c r="K211" s="2">
        <v>3.7499999999999999E-2</v>
      </c>
    </row>
    <row r="212" spans="1:11" x14ac:dyDescent="0.3">
      <c r="A212" t="s">
        <v>14</v>
      </c>
      <c r="B212" t="s">
        <v>41</v>
      </c>
      <c r="C212" s="1">
        <v>45536</v>
      </c>
      <c r="D212">
        <v>57</v>
      </c>
      <c r="E212">
        <v>18</v>
      </c>
      <c r="F212">
        <v>403.41</v>
      </c>
      <c r="G212">
        <v>3</v>
      </c>
      <c r="H212" s="2">
        <v>0.16666666666666666</v>
      </c>
      <c r="I212">
        <v>3767.63</v>
      </c>
      <c r="J212">
        <v>2</v>
      </c>
      <c r="K212" s="2">
        <v>4.24E-2</v>
      </c>
    </row>
    <row r="213" spans="1:11" x14ac:dyDescent="0.3">
      <c r="A213" t="s">
        <v>15</v>
      </c>
      <c r="B213" t="s">
        <v>41</v>
      </c>
      <c r="C213" s="1">
        <v>45536</v>
      </c>
      <c r="D213">
        <v>24</v>
      </c>
      <c r="E213">
        <v>7</v>
      </c>
      <c r="F213">
        <v>79.62</v>
      </c>
      <c r="G213">
        <v>4</v>
      </c>
      <c r="H213" s="2">
        <v>0.5714285714285714</v>
      </c>
      <c r="I213">
        <v>1650.69</v>
      </c>
      <c r="J213">
        <v>1</v>
      </c>
      <c r="K213" s="2">
        <v>3.0600000000000002E-2</v>
      </c>
    </row>
    <row r="214" spans="1:11" x14ac:dyDescent="0.3">
      <c r="A214" t="s">
        <v>16</v>
      </c>
      <c r="B214" t="s">
        <v>41</v>
      </c>
      <c r="C214" s="1">
        <v>45536</v>
      </c>
      <c r="D214">
        <v>77</v>
      </c>
      <c r="E214">
        <v>11</v>
      </c>
      <c r="F214">
        <v>487.47</v>
      </c>
      <c r="G214">
        <v>4</v>
      </c>
      <c r="H214" s="2">
        <v>0.36363636363636365</v>
      </c>
      <c r="I214">
        <v>990.89</v>
      </c>
      <c r="J214">
        <v>3</v>
      </c>
      <c r="K214" s="2">
        <v>4.3299999999999998E-2</v>
      </c>
    </row>
    <row r="215" spans="1:11" x14ac:dyDescent="0.3">
      <c r="A215" t="s">
        <v>17</v>
      </c>
      <c r="B215" t="s">
        <v>41</v>
      </c>
      <c r="C215" s="1">
        <v>45536</v>
      </c>
      <c r="D215">
        <v>69</v>
      </c>
      <c r="E215">
        <v>7</v>
      </c>
      <c r="F215">
        <v>549.77</v>
      </c>
      <c r="G215">
        <v>2</v>
      </c>
      <c r="H215" s="2">
        <v>0.2857142857142857</v>
      </c>
      <c r="I215">
        <v>3916.58</v>
      </c>
      <c r="J215">
        <v>2</v>
      </c>
      <c r="K215" s="2">
        <v>1.2E-2</v>
      </c>
    </row>
    <row r="216" spans="1:11" x14ac:dyDescent="0.3">
      <c r="A216" t="s">
        <v>18</v>
      </c>
      <c r="B216" t="s">
        <v>41</v>
      </c>
      <c r="C216" s="1">
        <v>45536</v>
      </c>
      <c r="D216">
        <v>74</v>
      </c>
      <c r="E216">
        <v>18</v>
      </c>
      <c r="F216">
        <v>306.89999999999998</v>
      </c>
      <c r="G216">
        <v>3</v>
      </c>
      <c r="H216" s="2">
        <v>0.16666666666666666</v>
      </c>
      <c r="I216">
        <v>2254.16</v>
      </c>
      <c r="J216">
        <v>1</v>
      </c>
      <c r="K216" s="2">
        <v>9.64E-2</v>
      </c>
    </row>
    <row r="217" spans="1:11" x14ac:dyDescent="0.3">
      <c r="A217" t="s">
        <v>19</v>
      </c>
      <c r="B217" t="s">
        <v>41</v>
      </c>
      <c r="C217" s="1">
        <v>45536</v>
      </c>
      <c r="D217">
        <v>57</v>
      </c>
      <c r="E217">
        <v>7</v>
      </c>
      <c r="F217">
        <v>262.27999999999997</v>
      </c>
      <c r="G217">
        <v>7</v>
      </c>
      <c r="H217" s="2">
        <v>1</v>
      </c>
      <c r="I217">
        <v>3929.11</v>
      </c>
      <c r="J217">
        <v>3</v>
      </c>
      <c r="K217" s="2">
        <v>4.4299999999999999E-2</v>
      </c>
    </row>
    <row r="218" spans="1:11" x14ac:dyDescent="0.3">
      <c r="A218" t="s">
        <v>20</v>
      </c>
      <c r="B218" t="s">
        <v>41</v>
      </c>
      <c r="C218" s="1">
        <v>45536</v>
      </c>
      <c r="D218">
        <v>26</v>
      </c>
      <c r="E218">
        <v>21</v>
      </c>
      <c r="F218">
        <v>359.51</v>
      </c>
      <c r="G218">
        <v>9</v>
      </c>
      <c r="H218" s="2">
        <v>0.42857142857142855</v>
      </c>
      <c r="I218">
        <v>1187.3699999999999</v>
      </c>
      <c r="J218">
        <v>2</v>
      </c>
      <c r="K218" s="2">
        <v>5.33E-2</v>
      </c>
    </row>
    <row r="219" spans="1:11" x14ac:dyDescent="0.3">
      <c r="A219" t="s">
        <v>21</v>
      </c>
      <c r="B219" t="s">
        <v>41</v>
      </c>
      <c r="C219" s="1">
        <v>45536</v>
      </c>
      <c r="D219">
        <v>76</v>
      </c>
      <c r="E219">
        <v>18</v>
      </c>
      <c r="F219">
        <v>339.1</v>
      </c>
      <c r="G219">
        <v>8</v>
      </c>
      <c r="H219" s="2">
        <v>0.44444444444444442</v>
      </c>
      <c r="I219">
        <v>924.79</v>
      </c>
      <c r="J219">
        <v>1</v>
      </c>
      <c r="K219" s="2">
        <v>3.6000000000000004E-2</v>
      </c>
    </row>
    <row r="220" spans="1:11" x14ac:dyDescent="0.3">
      <c r="A220" t="s">
        <v>22</v>
      </c>
      <c r="B220" t="s">
        <v>41</v>
      </c>
      <c r="C220" s="1">
        <v>45536</v>
      </c>
      <c r="D220">
        <v>22</v>
      </c>
      <c r="E220">
        <v>7</v>
      </c>
      <c r="F220">
        <v>182.47</v>
      </c>
      <c r="G220">
        <v>7</v>
      </c>
      <c r="H220" s="2">
        <v>1</v>
      </c>
      <c r="I220">
        <v>779.86</v>
      </c>
      <c r="J220">
        <v>3</v>
      </c>
      <c r="K220" s="2">
        <v>7.2700000000000001E-2</v>
      </c>
    </row>
    <row r="221" spans="1:11" x14ac:dyDescent="0.3">
      <c r="A221" t="s">
        <v>23</v>
      </c>
      <c r="B221" t="s">
        <v>41</v>
      </c>
      <c r="C221" s="1">
        <v>45536</v>
      </c>
      <c r="D221">
        <v>38</v>
      </c>
      <c r="E221">
        <v>6</v>
      </c>
      <c r="F221">
        <v>553.89</v>
      </c>
      <c r="G221">
        <v>6</v>
      </c>
      <c r="H221" s="2">
        <v>1</v>
      </c>
      <c r="I221">
        <v>4013.79</v>
      </c>
      <c r="J221">
        <v>2</v>
      </c>
      <c r="K221" s="2">
        <v>4.3200000000000002E-2</v>
      </c>
    </row>
    <row r="222" spans="1:11" x14ac:dyDescent="0.3">
      <c r="A222" t="s">
        <v>24</v>
      </c>
      <c r="B222" t="s">
        <v>41</v>
      </c>
      <c r="C222" s="1">
        <v>45536</v>
      </c>
      <c r="D222">
        <v>87</v>
      </c>
      <c r="E222">
        <v>21</v>
      </c>
      <c r="F222">
        <v>633.13</v>
      </c>
      <c r="G222">
        <v>2</v>
      </c>
      <c r="H222" s="2">
        <v>9.5238095238095233E-2</v>
      </c>
      <c r="I222">
        <v>336.22</v>
      </c>
      <c r="J222">
        <v>1</v>
      </c>
      <c r="K222" s="2">
        <v>3.4500000000000003E-2</v>
      </c>
    </row>
    <row r="223" spans="1:11" x14ac:dyDescent="0.3">
      <c r="A223" t="s">
        <v>25</v>
      </c>
      <c r="B223" t="s">
        <v>41</v>
      </c>
      <c r="C223" s="1">
        <v>45536</v>
      </c>
      <c r="D223">
        <v>37</v>
      </c>
      <c r="E223">
        <v>8</v>
      </c>
      <c r="F223">
        <v>215.09</v>
      </c>
      <c r="G223">
        <v>2</v>
      </c>
      <c r="H223" s="2">
        <v>0.25</v>
      </c>
      <c r="I223">
        <v>3424.83</v>
      </c>
      <c r="J223">
        <v>3</v>
      </c>
      <c r="K223" s="2">
        <v>4.07E-2</v>
      </c>
    </row>
    <row r="224" spans="1:11" x14ac:dyDescent="0.3">
      <c r="A224" t="s">
        <v>26</v>
      </c>
      <c r="B224" t="s">
        <v>41</v>
      </c>
      <c r="C224" s="1">
        <v>45536</v>
      </c>
      <c r="D224">
        <v>71</v>
      </c>
      <c r="E224">
        <v>8</v>
      </c>
      <c r="F224">
        <v>199.19</v>
      </c>
      <c r="G224">
        <v>2</v>
      </c>
      <c r="H224" s="2">
        <v>0.25</v>
      </c>
      <c r="I224">
        <v>635.24</v>
      </c>
      <c r="J224">
        <v>2</v>
      </c>
      <c r="K224" s="2">
        <v>2.9500000000000002E-2</v>
      </c>
    </row>
    <row r="225" spans="1:11" x14ac:dyDescent="0.3">
      <c r="A225" t="s">
        <v>27</v>
      </c>
      <c r="B225" t="s">
        <v>41</v>
      </c>
      <c r="C225" s="1">
        <v>45536</v>
      </c>
      <c r="D225">
        <v>81</v>
      </c>
      <c r="E225">
        <v>5</v>
      </c>
      <c r="F225">
        <v>153.5</v>
      </c>
      <c r="G225">
        <v>2</v>
      </c>
      <c r="H225" s="2">
        <v>0.4</v>
      </c>
      <c r="I225">
        <v>1307.47</v>
      </c>
      <c r="J225">
        <v>1</v>
      </c>
      <c r="K225" s="2">
        <v>7.3300000000000004E-2</v>
      </c>
    </row>
    <row r="226" spans="1:11" x14ac:dyDescent="0.3">
      <c r="A226" t="s">
        <v>28</v>
      </c>
      <c r="B226" t="s">
        <v>41</v>
      </c>
      <c r="C226" s="1">
        <v>45536</v>
      </c>
      <c r="D226">
        <v>93</v>
      </c>
      <c r="E226">
        <v>5</v>
      </c>
      <c r="F226">
        <v>77.12</v>
      </c>
      <c r="G226">
        <v>2</v>
      </c>
      <c r="H226" s="2">
        <v>0.4</v>
      </c>
      <c r="I226">
        <v>3483.91</v>
      </c>
      <c r="J226">
        <v>3</v>
      </c>
      <c r="K226" s="2">
        <v>9.9000000000000005E-2</v>
      </c>
    </row>
    <row r="227" spans="1:11" x14ac:dyDescent="0.3">
      <c r="A227" t="s">
        <v>29</v>
      </c>
      <c r="B227" t="s">
        <v>41</v>
      </c>
      <c r="C227" s="1">
        <v>45536</v>
      </c>
      <c r="D227">
        <v>21</v>
      </c>
      <c r="E227">
        <v>17</v>
      </c>
      <c r="F227">
        <v>533.41999999999996</v>
      </c>
      <c r="G227">
        <v>7</v>
      </c>
      <c r="H227" s="2">
        <v>0.41176470588235292</v>
      </c>
      <c r="I227">
        <v>3895.32</v>
      </c>
      <c r="J227">
        <v>2</v>
      </c>
      <c r="K227" s="2">
        <v>3.4000000000000002E-2</v>
      </c>
    </row>
    <row r="228" spans="1:11" x14ac:dyDescent="0.3">
      <c r="A228" t="s">
        <v>30</v>
      </c>
      <c r="B228" t="s">
        <v>41</v>
      </c>
      <c r="C228" s="1">
        <v>45536</v>
      </c>
      <c r="D228">
        <v>86</v>
      </c>
      <c r="E228">
        <v>17</v>
      </c>
      <c r="F228">
        <v>160.88999999999999</v>
      </c>
      <c r="G228">
        <v>4</v>
      </c>
      <c r="H228" s="2">
        <v>0.23529411764705882</v>
      </c>
      <c r="I228">
        <v>418.33</v>
      </c>
      <c r="J228">
        <v>1</v>
      </c>
      <c r="K228" s="2">
        <v>8.8100000000000012E-2</v>
      </c>
    </row>
    <row r="229" spans="1:11" x14ac:dyDescent="0.3">
      <c r="A229" t="s">
        <v>31</v>
      </c>
      <c r="B229" t="s">
        <v>41</v>
      </c>
      <c r="C229" s="1">
        <v>45536</v>
      </c>
      <c r="D229">
        <v>72</v>
      </c>
      <c r="E229">
        <v>11</v>
      </c>
      <c r="F229">
        <v>459.86</v>
      </c>
      <c r="G229">
        <v>0</v>
      </c>
      <c r="H229" s="2">
        <v>0</v>
      </c>
      <c r="I229">
        <v>1269.5999999999999</v>
      </c>
      <c r="J229">
        <v>3</v>
      </c>
      <c r="K229" s="2">
        <v>1E-3</v>
      </c>
    </row>
    <row r="230" spans="1:11" x14ac:dyDescent="0.3">
      <c r="A230" t="s">
        <v>32</v>
      </c>
      <c r="B230" t="s">
        <v>41</v>
      </c>
      <c r="C230" s="1">
        <v>45536</v>
      </c>
      <c r="D230">
        <v>18</v>
      </c>
      <c r="E230">
        <v>13</v>
      </c>
      <c r="F230">
        <v>290.14</v>
      </c>
      <c r="G230">
        <v>2</v>
      </c>
      <c r="H230" s="2">
        <v>0.15384615384615385</v>
      </c>
      <c r="I230">
        <v>1444.65</v>
      </c>
      <c r="J230">
        <v>2</v>
      </c>
      <c r="K230" s="2">
        <v>5.4699999999999999E-2</v>
      </c>
    </row>
    <row r="231" spans="1:11" x14ac:dyDescent="0.3">
      <c r="A231" t="s">
        <v>33</v>
      </c>
      <c r="B231" t="s">
        <v>41</v>
      </c>
      <c r="C231" s="1">
        <v>45536</v>
      </c>
      <c r="D231">
        <v>105</v>
      </c>
      <c r="E231">
        <v>7</v>
      </c>
      <c r="F231">
        <v>587.83000000000004</v>
      </c>
      <c r="G231">
        <v>1</v>
      </c>
      <c r="H231" s="2">
        <v>0.14285714285714285</v>
      </c>
      <c r="I231">
        <v>3601.93</v>
      </c>
      <c r="J231">
        <v>1</v>
      </c>
      <c r="K231" s="2">
        <v>3.2199999999999999E-2</v>
      </c>
    </row>
    <row r="232" spans="1:11" x14ac:dyDescent="0.3">
      <c r="A232" t="s">
        <v>34</v>
      </c>
      <c r="B232" t="s">
        <v>41</v>
      </c>
      <c r="C232" s="1">
        <v>45536</v>
      </c>
      <c r="D232">
        <v>75</v>
      </c>
      <c r="E232">
        <v>8</v>
      </c>
      <c r="F232">
        <v>177.88</v>
      </c>
      <c r="G232">
        <v>7</v>
      </c>
      <c r="H232" s="2">
        <v>0.875</v>
      </c>
      <c r="I232">
        <v>507.1</v>
      </c>
      <c r="J232">
        <v>3</v>
      </c>
      <c r="K232" s="2">
        <v>9.5199999999999993E-2</v>
      </c>
    </row>
    <row r="233" spans="1:11" x14ac:dyDescent="0.3">
      <c r="A233" t="s">
        <v>35</v>
      </c>
      <c r="B233" t="s">
        <v>41</v>
      </c>
      <c r="C233" s="1">
        <v>45536</v>
      </c>
      <c r="D233">
        <v>98</v>
      </c>
      <c r="E233">
        <v>12</v>
      </c>
      <c r="F233">
        <v>406.95</v>
      </c>
      <c r="G233">
        <v>0</v>
      </c>
      <c r="H233" s="2">
        <v>0</v>
      </c>
      <c r="I233">
        <v>2978.09</v>
      </c>
      <c r="J233">
        <v>2</v>
      </c>
      <c r="K233" s="2">
        <v>2.3700000000000002E-2</v>
      </c>
    </row>
    <row r="234" spans="1:11" x14ac:dyDescent="0.3">
      <c r="A234" t="s">
        <v>37</v>
      </c>
      <c r="B234" t="s">
        <v>41</v>
      </c>
      <c r="C234" s="1">
        <v>45536</v>
      </c>
      <c r="D234">
        <v>33</v>
      </c>
      <c r="E234">
        <v>13</v>
      </c>
      <c r="F234">
        <v>517.1</v>
      </c>
      <c r="G234">
        <v>4</v>
      </c>
      <c r="H234" s="2">
        <v>0.30769230769230771</v>
      </c>
      <c r="I234">
        <v>250.08</v>
      </c>
      <c r="J234">
        <v>1</v>
      </c>
      <c r="K234" s="2">
        <v>6.5299999999999997E-2</v>
      </c>
    </row>
    <row r="235" spans="1:11" x14ac:dyDescent="0.3">
      <c r="A235" t="s">
        <v>38</v>
      </c>
      <c r="B235" t="s">
        <v>41</v>
      </c>
      <c r="C235" s="1">
        <v>45536</v>
      </c>
      <c r="D235">
        <v>35</v>
      </c>
      <c r="E235">
        <v>18</v>
      </c>
      <c r="F235">
        <v>348.92</v>
      </c>
      <c r="G235">
        <v>7</v>
      </c>
      <c r="H235" s="2">
        <v>0.3888888888888889</v>
      </c>
      <c r="I235">
        <v>4381.3900000000003</v>
      </c>
      <c r="J235">
        <v>1</v>
      </c>
      <c r="K235" s="2">
        <v>8.8599999999999998E-2</v>
      </c>
    </row>
    <row r="236" spans="1:11" x14ac:dyDescent="0.3">
      <c r="A236" t="s">
        <v>11</v>
      </c>
      <c r="B236" t="s">
        <v>41</v>
      </c>
      <c r="C236" s="1">
        <v>45566</v>
      </c>
      <c r="D236">
        <v>74</v>
      </c>
      <c r="E236">
        <v>16</v>
      </c>
      <c r="F236">
        <v>308.51</v>
      </c>
      <c r="G236">
        <v>7</v>
      </c>
      <c r="H236" s="2">
        <v>0.4375</v>
      </c>
      <c r="I236">
        <v>4267.5</v>
      </c>
      <c r="J236">
        <v>3</v>
      </c>
      <c r="K236" s="2">
        <v>2.9399999999999999E-2</v>
      </c>
    </row>
    <row r="237" spans="1:11" x14ac:dyDescent="0.3">
      <c r="A237" t="s">
        <v>13</v>
      </c>
      <c r="B237" t="s">
        <v>41</v>
      </c>
      <c r="C237" s="1">
        <v>45566</v>
      </c>
      <c r="D237">
        <v>72</v>
      </c>
      <c r="E237">
        <v>10</v>
      </c>
      <c r="F237">
        <v>362.58</v>
      </c>
      <c r="G237">
        <v>5</v>
      </c>
      <c r="H237" s="2">
        <v>0.5</v>
      </c>
      <c r="I237">
        <v>3679.65</v>
      </c>
      <c r="J237">
        <v>2</v>
      </c>
      <c r="K237" s="2">
        <v>3.8599999999999995E-2</v>
      </c>
    </row>
    <row r="238" spans="1:11" x14ac:dyDescent="0.3">
      <c r="A238" t="s">
        <v>14</v>
      </c>
      <c r="B238" t="s">
        <v>41</v>
      </c>
      <c r="C238" s="1">
        <v>45566</v>
      </c>
      <c r="D238">
        <v>58</v>
      </c>
      <c r="E238">
        <v>13</v>
      </c>
      <c r="F238">
        <v>368.06</v>
      </c>
      <c r="G238">
        <v>2</v>
      </c>
      <c r="H238" s="2">
        <v>0.15384615384615385</v>
      </c>
      <c r="I238">
        <v>3626.22</v>
      </c>
      <c r="J238">
        <v>1</v>
      </c>
      <c r="K238" s="2">
        <v>4.1399999999999999E-2</v>
      </c>
    </row>
    <row r="239" spans="1:11" x14ac:dyDescent="0.3">
      <c r="A239" t="s">
        <v>15</v>
      </c>
      <c r="B239" t="s">
        <v>41</v>
      </c>
      <c r="C239" s="1">
        <v>45566</v>
      </c>
      <c r="D239">
        <v>22</v>
      </c>
      <c r="E239">
        <v>7</v>
      </c>
      <c r="F239">
        <v>74.680000000000007</v>
      </c>
      <c r="G239">
        <v>4</v>
      </c>
      <c r="H239" s="2">
        <v>0.5714285714285714</v>
      </c>
      <c r="I239">
        <v>1543.72</v>
      </c>
      <c r="J239">
        <v>3</v>
      </c>
      <c r="K239" s="2">
        <v>2.75E-2</v>
      </c>
    </row>
    <row r="240" spans="1:11" x14ac:dyDescent="0.3">
      <c r="A240" t="s">
        <v>16</v>
      </c>
      <c r="B240" t="s">
        <v>41</v>
      </c>
      <c r="C240" s="1">
        <v>45566</v>
      </c>
      <c r="D240">
        <v>74</v>
      </c>
      <c r="E240">
        <v>15</v>
      </c>
      <c r="F240">
        <v>460.2</v>
      </c>
      <c r="G240">
        <v>4</v>
      </c>
      <c r="H240" s="2">
        <v>0.26666666666666666</v>
      </c>
      <c r="I240">
        <v>980.1</v>
      </c>
      <c r="J240">
        <v>2</v>
      </c>
      <c r="K240" s="2">
        <v>3.7900000000000003E-2</v>
      </c>
    </row>
    <row r="241" spans="1:11" x14ac:dyDescent="0.3">
      <c r="A241" t="s">
        <v>17</v>
      </c>
      <c r="B241" t="s">
        <v>41</v>
      </c>
      <c r="C241" s="1">
        <v>45566</v>
      </c>
      <c r="D241">
        <v>62</v>
      </c>
      <c r="E241">
        <v>8</v>
      </c>
      <c r="F241">
        <v>540.79999999999995</v>
      </c>
      <c r="G241">
        <v>3</v>
      </c>
      <c r="H241" s="2">
        <v>0.375</v>
      </c>
      <c r="I241">
        <v>3928.71</v>
      </c>
      <c r="J241">
        <v>1</v>
      </c>
      <c r="K241" s="2">
        <v>1.09E-2</v>
      </c>
    </row>
    <row r="242" spans="1:11" x14ac:dyDescent="0.3">
      <c r="A242" t="s">
        <v>18</v>
      </c>
      <c r="B242" t="s">
        <v>41</v>
      </c>
      <c r="C242" s="1">
        <v>45566</v>
      </c>
      <c r="D242">
        <v>70</v>
      </c>
      <c r="E242">
        <v>21</v>
      </c>
      <c r="F242">
        <v>319.62</v>
      </c>
      <c r="G242">
        <v>3</v>
      </c>
      <c r="H242" s="2">
        <v>0.14285714285714285</v>
      </c>
      <c r="I242">
        <v>2486.2199999999998</v>
      </c>
      <c r="J242">
        <v>3</v>
      </c>
      <c r="K242" s="2">
        <v>0.1036</v>
      </c>
    </row>
    <row r="243" spans="1:11" x14ac:dyDescent="0.3">
      <c r="A243" t="s">
        <v>19</v>
      </c>
      <c r="B243" t="s">
        <v>41</v>
      </c>
      <c r="C243" s="1">
        <v>45566</v>
      </c>
      <c r="D243">
        <v>51</v>
      </c>
      <c r="E243">
        <v>7</v>
      </c>
      <c r="F243">
        <v>248.37</v>
      </c>
      <c r="G243">
        <v>7</v>
      </c>
      <c r="H243" s="2">
        <v>1</v>
      </c>
      <c r="I243">
        <v>3946.23</v>
      </c>
      <c r="J243">
        <v>2</v>
      </c>
      <c r="K243" s="2">
        <v>4.2699999999999995E-2</v>
      </c>
    </row>
    <row r="244" spans="1:11" x14ac:dyDescent="0.3">
      <c r="A244" t="s">
        <v>20</v>
      </c>
      <c r="B244" t="s">
        <v>41</v>
      </c>
      <c r="C244" s="1">
        <v>45566</v>
      </c>
      <c r="D244">
        <v>32</v>
      </c>
      <c r="E244">
        <v>16</v>
      </c>
      <c r="F244">
        <v>393.04</v>
      </c>
      <c r="G244">
        <v>7</v>
      </c>
      <c r="H244" s="2">
        <v>0.4375</v>
      </c>
      <c r="I244">
        <v>1286.18</v>
      </c>
      <c r="J244">
        <v>1</v>
      </c>
      <c r="K244" s="2">
        <v>5.6399999999999999E-2</v>
      </c>
    </row>
    <row r="245" spans="1:11" x14ac:dyDescent="0.3">
      <c r="A245" t="s">
        <v>21</v>
      </c>
      <c r="B245" t="s">
        <v>41</v>
      </c>
      <c r="C245" s="1">
        <v>45566</v>
      </c>
      <c r="D245">
        <v>71</v>
      </c>
      <c r="E245">
        <v>16</v>
      </c>
      <c r="F245">
        <v>323.56</v>
      </c>
      <c r="G245">
        <v>9</v>
      </c>
      <c r="H245" s="2">
        <v>0.5625</v>
      </c>
      <c r="I245">
        <v>957.05</v>
      </c>
      <c r="J245">
        <v>3</v>
      </c>
      <c r="K245" s="2">
        <v>3.1099999999999999E-2</v>
      </c>
    </row>
    <row r="246" spans="1:11" x14ac:dyDescent="0.3">
      <c r="A246" t="s">
        <v>22</v>
      </c>
      <c r="B246" t="s">
        <v>41</v>
      </c>
      <c r="C246" s="1">
        <v>45566</v>
      </c>
      <c r="D246">
        <v>17</v>
      </c>
      <c r="E246">
        <v>7</v>
      </c>
      <c r="F246">
        <v>205.3</v>
      </c>
      <c r="G246">
        <v>4</v>
      </c>
      <c r="H246" s="2">
        <v>0.5714285714285714</v>
      </c>
      <c r="I246">
        <v>762.2</v>
      </c>
      <c r="J246">
        <v>2</v>
      </c>
      <c r="K246" s="2">
        <v>7.2300000000000003E-2</v>
      </c>
    </row>
    <row r="247" spans="1:11" x14ac:dyDescent="0.3">
      <c r="A247" t="s">
        <v>23</v>
      </c>
      <c r="B247" t="s">
        <v>41</v>
      </c>
      <c r="C247" s="1">
        <v>45566</v>
      </c>
      <c r="D247">
        <v>35</v>
      </c>
      <c r="E247">
        <v>6</v>
      </c>
      <c r="F247">
        <v>544.78</v>
      </c>
      <c r="G247">
        <v>5</v>
      </c>
      <c r="H247" s="2">
        <v>0.83333333333333337</v>
      </c>
      <c r="I247">
        <v>3420.99</v>
      </c>
      <c r="J247">
        <v>3</v>
      </c>
      <c r="K247" s="2">
        <v>4.0500000000000001E-2</v>
      </c>
    </row>
    <row r="248" spans="1:11" x14ac:dyDescent="0.3">
      <c r="A248" t="s">
        <v>24</v>
      </c>
      <c r="B248" t="s">
        <v>41</v>
      </c>
      <c r="C248" s="1">
        <v>45566</v>
      </c>
      <c r="D248">
        <v>73</v>
      </c>
      <c r="E248">
        <v>17</v>
      </c>
      <c r="F248">
        <v>557.29999999999995</v>
      </c>
      <c r="G248">
        <v>3</v>
      </c>
      <c r="H248" s="2">
        <v>0.17647058823529413</v>
      </c>
      <c r="I248">
        <v>376.66</v>
      </c>
      <c r="J248">
        <v>2</v>
      </c>
      <c r="K248" s="2">
        <v>3.4700000000000002E-2</v>
      </c>
    </row>
    <row r="249" spans="1:11" x14ac:dyDescent="0.3">
      <c r="A249" t="s">
        <v>25</v>
      </c>
      <c r="B249" t="s">
        <v>41</v>
      </c>
      <c r="C249" s="1">
        <v>45566</v>
      </c>
      <c r="D249">
        <v>27</v>
      </c>
      <c r="E249">
        <v>6</v>
      </c>
      <c r="F249">
        <v>202.37</v>
      </c>
      <c r="G249">
        <v>1</v>
      </c>
      <c r="H249" s="2">
        <v>0.16666666666666666</v>
      </c>
      <c r="I249">
        <v>3781.81</v>
      </c>
      <c r="J249">
        <v>1</v>
      </c>
      <c r="K249" s="2">
        <v>4.3099999999999999E-2</v>
      </c>
    </row>
    <row r="250" spans="1:11" x14ac:dyDescent="0.3">
      <c r="A250" t="s">
        <v>26</v>
      </c>
      <c r="B250" t="s">
        <v>41</v>
      </c>
      <c r="C250" s="1">
        <v>45566</v>
      </c>
      <c r="D250">
        <v>49</v>
      </c>
      <c r="E250">
        <v>7</v>
      </c>
      <c r="F250">
        <v>204.14</v>
      </c>
      <c r="G250">
        <v>3</v>
      </c>
      <c r="H250" s="2">
        <v>0.42857142857142855</v>
      </c>
      <c r="I250">
        <v>636.65</v>
      </c>
      <c r="J250">
        <v>3</v>
      </c>
      <c r="K250" s="2">
        <v>2.9500000000000002E-2</v>
      </c>
    </row>
    <row r="251" spans="1:11" x14ac:dyDescent="0.3">
      <c r="A251" t="s">
        <v>27</v>
      </c>
      <c r="B251" t="s">
        <v>41</v>
      </c>
      <c r="C251" s="1">
        <v>45566</v>
      </c>
      <c r="D251">
        <v>106</v>
      </c>
      <c r="E251">
        <v>5</v>
      </c>
      <c r="F251">
        <v>163.38</v>
      </c>
      <c r="G251">
        <v>1</v>
      </c>
      <c r="H251" s="2">
        <v>0.2</v>
      </c>
      <c r="I251">
        <v>1148.1400000000001</v>
      </c>
      <c r="J251">
        <v>2</v>
      </c>
      <c r="K251" s="2">
        <v>7.8799999999999995E-2</v>
      </c>
    </row>
    <row r="252" spans="1:11" x14ac:dyDescent="0.3">
      <c r="A252" t="s">
        <v>28</v>
      </c>
      <c r="B252" t="s">
        <v>41</v>
      </c>
      <c r="C252" s="1">
        <v>45566</v>
      </c>
      <c r="D252">
        <v>102</v>
      </c>
      <c r="E252">
        <v>5</v>
      </c>
      <c r="F252">
        <v>86.37</v>
      </c>
      <c r="G252">
        <v>5</v>
      </c>
      <c r="H252" s="2">
        <v>1</v>
      </c>
      <c r="I252">
        <v>3851.19</v>
      </c>
      <c r="J252">
        <v>1</v>
      </c>
      <c r="K252" s="2">
        <v>8.3800000000000013E-2</v>
      </c>
    </row>
    <row r="253" spans="1:11" x14ac:dyDescent="0.3">
      <c r="A253" t="s">
        <v>29</v>
      </c>
      <c r="B253" t="s">
        <v>41</v>
      </c>
      <c r="C253" s="1">
        <v>45566</v>
      </c>
      <c r="D253">
        <v>21</v>
      </c>
      <c r="E253">
        <v>14</v>
      </c>
      <c r="F253">
        <v>537.36</v>
      </c>
      <c r="G253">
        <v>7</v>
      </c>
      <c r="H253" s="2">
        <v>0.5</v>
      </c>
      <c r="I253">
        <v>3767.78</v>
      </c>
      <c r="J253">
        <v>3</v>
      </c>
      <c r="K253" s="2">
        <v>3.44E-2</v>
      </c>
    </row>
    <row r="254" spans="1:11" x14ac:dyDescent="0.3">
      <c r="A254" t="s">
        <v>30</v>
      </c>
      <c r="B254" t="s">
        <v>41</v>
      </c>
      <c r="C254" s="1">
        <v>45566</v>
      </c>
      <c r="D254">
        <v>104</v>
      </c>
      <c r="E254">
        <v>20</v>
      </c>
      <c r="F254">
        <v>181.9</v>
      </c>
      <c r="G254">
        <v>4</v>
      </c>
      <c r="H254" s="2">
        <v>0.2</v>
      </c>
      <c r="I254">
        <v>400.92</v>
      </c>
      <c r="J254">
        <v>2</v>
      </c>
      <c r="K254" s="2">
        <v>0.10009999999999999</v>
      </c>
    </row>
    <row r="255" spans="1:11" x14ac:dyDescent="0.3">
      <c r="A255" t="s">
        <v>31</v>
      </c>
      <c r="B255" t="s">
        <v>41</v>
      </c>
      <c r="C255" s="1">
        <v>45566</v>
      </c>
      <c r="D255">
        <v>64</v>
      </c>
      <c r="E255">
        <v>15</v>
      </c>
      <c r="F255">
        <v>514.38</v>
      </c>
      <c r="G255">
        <v>0</v>
      </c>
      <c r="H255" s="2">
        <v>0</v>
      </c>
      <c r="I255">
        <v>1220.5899999999999</v>
      </c>
      <c r="J255">
        <v>1</v>
      </c>
      <c r="K255" s="2">
        <v>1E-3</v>
      </c>
    </row>
    <row r="256" spans="1:11" x14ac:dyDescent="0.3">
      <c r="A256" t="s">
        <v>32</v>
      </c>
      <c r="B256" t="s">
        <v>41</v>
      </c>
      <c r="C256" s="1">
        <v>45566</v>
      </c>
      <c r="D256">
        <v>21</v>
      </c>
      <c r="E256">
        <v>15</v>
      </c>
      <c r="F256">
        <v>309.75</v>
      </c>
      <c r="G256">
        <v>2</v>
      </c>
      <c r="H256" s="2">
        <v>0.13333333333333333</v>
      </c>
      <c r="I256">
        <v>1649.09</v>
      </c>
      <c r="J256">
        <v>3</v>
      </c>
      <c r="K256" s="2">
        <v>5.0999999999999997E-2</v>
      </c>
    </row>
    <row r="257" spans="1:11" x14ac:dyDescent="0.3">
      <c r="A257" t="s">
        <v>33</v>
      </c>
      <c r="B257" t="s">
        <v>41</v>
      </c>
      <c r="C257" s="1">
        <v>45566</v>
      </c>
      <c r="D257">
        <v>108</v>
      </c>
      <c r="E257">
        <v>6</v>
      </c>
      <c r="F257">
        <v>515.27</v>
      </c>
      <c r="G257">
        <v>2</v>
      </c>
      <c r="H257" s="2">
        <v>0.33333333333333331</v>
      </c>
      <c r="I257">
        <v>3183.87</v>
      </c>
      <c r="J257">
        <v>2</v>
      </c>
      <c r="K257" s="2">
        <v>3.04E-2</v>
      </c>
    </row>
    <row r="258" spans="1:11" x14ac:dyDescent="0.3">
      <c r="A258" t="s">
        <v>34</v>
      </c>
      <c r="B258" t="s">
        <v>41</v>
      </c>
      <c r="C258" s="1">
        <v>45566</v>
      </c>
      <c r="D258">
        <v>63</v>
      </c>
      <c r="E258">
        <v>10</v>
      </c>
      <c r="F258">
        <v>194.21</v>
      </c>
      <c r="G258">
        <v>7</v>
      </c>
      <c r="H258" s="2">
        <v>0.7</v>
      </c>
      <c r="I258">
        <v>508.84</v>
      </c>
      <c r="J258">
        <v>1</v>
      </c>
      <c r="K258" s="2">
        <v>9.3900000000000011E-2</v>
      </c>
    </row>
    <row r="259" spans="1:11" x14ac:dyDescent="0.3">
      <c r="A259" t="s">
        <v>35</v>
      </c>
      <c r="B259" t="s">
        <v>41</v>
      </c>
      <c r="C259" s="1">
        <v>45566</v>
      </c>
      <c r="D259">
        <v>85</v>
      </c>
      <c r="E259">
        <v>15</v>
      </c>
      <c r="F259">
        <v>400.65</v>
      </c>
      <c r="G259">
        <v>0</v>
      </c>
      <c r="H259" s="2">
        <v>0</v>
      </c>
      <c r="I259">
        <v>2890.62</v>
      </c>
      <c r="J259">
        <v>1</v>
      </c>
      <c r="K259" s="2">
        <v>2.4700000000000003E-2</v>
      </c>
    </row>
    <row r="260" spans="1:11" x14ac:dyDescent="0.3">
      <c r="A260" t="s">
        <v>37</v>
      </c>
      <c r="B260" t="s">
        <v>41</v>
      </c>
      <c r="C260" s="1">
        <v>45566</v>
      </c>
      <c r="D260">
        <v>36</v>
      </c>
      <c r="E260">
        <v>10</v>
      </c>
      <c r="F260">
        <v>535.44000000000005</v>
      </c>
      <c r="G260">
        <v>4</v>
      </c>
      <c r="H260" s="2">
        <v>0.4</v>
      </c>
      <c r="I260">
        <v>241.26</v>
      </c>
      <c r="J260">
        <v>3</v>
      </c>
      <c r="K260" s="2">
        <v>6.3E-2</v>
      </c>
    </row>
    <row r="261" spans="1:11" x14ac:dyDescent="0.3">
      <c r="A261" t="s">
        <v>38</v>
      </c>
      <c r="B261" t="s">
        <v>41</v>
      </c>
      <c r="C261" s="1">
        <v>45566</v>
      </c>
      <c r="D261">
        <v>34</v>
      </c>
      <c r="E261">
        <v>12</v>
      </c>
      <c r="F261">
        <v>356.4</v>
      </c>
      <c r="G261">
        <v>8</v>
      </c>
      <c r="H261" s="2">
        <v>0.66666666666666663</v>
      </c>
      <c r="I261">
        <v>4111.76</v>
      </c>
      <c r="J261">
        <v>2</v>
      </c>
      <c r="K261" s="2">
        <v>8.4700000000000011E-2</v>
      </c>
    </row>
    <row r="262" spans="1:11" x14ac:dyDescent="0.3">
      <c r="A262" t="s">
        <v>11</v>
      </c>
      <c r="B262" t="s">
        <v>41</v>
      </c>
      <c r="C262" s="1">
        <v>45597</v>
      </c>
      <c r="D262">
        <v>67</v>
      </c>
      <c r="E262">
        <v>12</v>
      </c>
      <c r="F262">
        <v>352.6</v>
      </c>
      <c r="G262">
        <v>6</v>
      </c>
      <c r="H262" s="2">
        <v>0.5</v>
      </c>
      <c r="I262">
        <v>4402.41</v>
      </c>
      <c r="J262">
        <v>1</v>
      </c>
      <c r="K262" s="2">
        <v>2.8999999999999998E-2</v>
      </c>
    </row>
    <row r="263" spans="1:11" x14ac:dyDescent="0.3">
      <c r="A263" t="s">
        <v>13</v>
      </c>
      <c r="B263" t="s">
        <v>41</v>
      </c>
      <c r="C263" s="1">
        <v>45597</v>
      </c>
      <c r="D263">
        <v>76</v>
      </c>
      <c r="E263">
        <v>14</v>
      </c>
      <c r="F263">
        <v>351.42</v>
      </c>
      <c r="G263">
        <v>4</v>
      </c>
      <c r="H263" s="2">
        <v>0.2857142857142857</v>
      </c>
      <c r="I263">
        <v>3917.99</v>
      </c>
      <c r="J263">
        <v>3</v>
      </c>
      <c r="K263" s="2">
        <v>4.2999999999999997E-2</v>
      </c>
    </row>
    <row r="264" spans="1:11" x14ac:dyDescent="0.3">
      <c r="A264" t="s">
        <v>14</v>
      </c>
      <c r="B264" t="s">
        <v>41</v>
      </c>
      <c r="C264" s="1">
        <v>45597</v>
      </c>
      <c r="D264">
        <v>53</v>
      </c>
      <c r="E264">
        <v>17</v>
      </c>
      <c r="F264">
        <v>404.22</v>
      </c>
      <c r="G264">
        <v>2</v>
      </c>
      <c r="H264" s="2">
        <v>0.11764705882352941</v>
      </c>
      <c r="I264">
        <v>3669.4</v>
      </c>
      <c r="J264">
        <v>2</v>
      </c>
      <c r="K264" s="2">
        <v>4.4500000000000005E-2</v>
      </c>
    </row>
    <row r="265" spans="1:11" x14ac:dyDescent="0.3">
      <c r="A265" t="s">
        <v>15</v>
      </c>
      <c r="B265" t="s">
        <v>41</v>
      </c>
      <c r="C265" s="1">
        <v>45597</v>
      </c>
      <c r="D265">
        <v>22</v>
      </c>
      <c r="E265">
        <v>6</v>
      </c>
      <c r="F265">
        <v>80.02</v>
      </c>
      <c r="G265">
        <v>3</v>
      </c>
      <c r="H265" s="2">
        <v>0.5</v>
      </c>
      <c r="I265">
        <v>1476.69</v>
      </c>
      <c r="J265">
        <v>1</v>
      </c>
      <c r="K265" s="2">
        <v>2.9300000000000003E-2</v>
      </c>
    </row>
    <row r="266" spans="1:11" x14ac:dyDescent="0.3">
      <c r="A266" t="s">
        <v>16</v>
      </c>
      <c r="B266" t="s">
        <v>41</v>
      </c>
      <c r="C266" s="1">
        <v>45597</v>
      </c>
      <c r="D266">
        <v>77</v>
      </c>
      <c r="E266">
        <v>16</v>
      </c>
      <c r="F266">
        <v>502.41</v>
      </c>
      <c r="G266">
        <v>5</v>
      </c>
      <c r="H266" s="2">
        <v>0.3125</v>
      </c>
      <c r="I266">
        <v>1093.75</v>
      </c>
      <c r="J266">
        <v>3</v>
      </c>
      <c r="K266" s="2">
        <v>3.8399999999999997E-2</v>
      </c>
    </row>
    <row r="267" spans="1:11" x14ac:dyDescent="0.3">
      <c r="A267" t="s">
        <v>17</v>
      </c>
      <c r="B267" t="s">
        <v>41</v>
      </c>
      <c r="C267" s="1">
        <v>45597</v>
      </c>
      <c r="D267">
        <v>52</v>
      </c>
      <c r="E267">
        <v>6</v>
      </c>
      <c r="F267">
        <v>492.23</v>
      </c>
      <c r="G267">
        <v>2</v>
      </c>
      <c r="H267" s="2">
        <v>0.33333333333333331</v>
      </c>
      <c r="I267">
        <v>3775.84</v>
      </c>
      <c r="J267">
        <v>2</v>
      </c>
      <c r="K267" s="2">
        <v>1.1000000000000001E-2</v>
      </c>
    </row>
    <row r="268" spans="1:11" x14ac:dyDescent="0.3">
      <c r="A268" t="s">
        <v>18</v>
      </c>
      <c r="B268" t="s">
        <v>41</v>
      </c>
      <c r="C268" s="1">
        <v>45597</v>
      </c>
      <c r="D268">
        <v>74</v>
      </c>
      <c r="E268">
        <v>17</v>
      </c>
      <c r="F268">
        <v>284.91000000000003</v>
      </c>
      <c r="G268">
        <v>3</v>
      </c>
      <c r="H268" s="2">
        <v>0.17647058823529413</v>
      </c>
      <c r="I268">
        <v>2481.64</v>
      </c>
      <c r="J268">
        <v>1</v>
      </c>
      <c r="K268" s="2">
        <v>9.0500000000000011E-2</v>
      </c>
    </row>
    <row r="269" spans="1:11" x14ac:dyDescent="0.3">
      <c r="A269" t="s">
        <v>19</v>
      </c>
      <c r="B269" t="s">
        <v>41</v>
      </c>
      <c r="C269" s="1">
        <v>45597</v>
      </c>
      <c r="D269">
        <v>50</v>
      </c>
      <c r="E269">
        <v>9</v>
      </c>
      <c r="F269">
        <v>237.95</v>
      </c>
      <c r="G269">
        <v>5</v>
      </c>
      <c r="H269" s="2">
        <v>0.55555555555555558</v>
      </c>
      <c r="I269">
        <v>3982.36</v>
      </c>
      <c r="J269">
        <v>3</v>
      </c>
      <c r="K269" s="2">
        <v>4.4299999999999999E-2</v>
      </c>
    </row>
    <row r="270" spans="1:11" x14ac:dyDescent="0.3">
      <c r="A270" t="s">
        <v>20</v>
      </c>
      <c r="B270" t="s">
        <v>41</v>
      </c>
      <c r="C270" s="1">
        <v>45597</v>
      </c>
      <c r="D270">
        <v>30</v>
      </c>
      <c r="E270">
        <v>21</v>
      </c>
      <c r="F270">
        <v>372.34</v>
      </c>
      <c r="G270">
        <v>7</v>
      </c>
      <c r="H270" s="2">
        <v>0.33333333333333331</v>
      </c>
      <c r="I270">
        <v>1172.04</v>
      </c>
      <c r="J270">
        <v>2</v>
      </c>
      <c r="K270" s="2">
        <v>5.4800000000000001E-2</v>
      </c>
    </row>
    <row r="271" spans="1:11" x14ac:dyDescent="0.3">
      <c r="A271" t="s">
        <v>21</v>
      </c>
      <c r="B271" t="s">
        <v>41</v>
      </c>
      <c r="C271" s="1">
        <v>45597</v>
      </c>
      <c r="D271">
        <v>74</v>
      </c>
      <c r="E271">
        <v>13</v>
      </c>
      <c r="F271">
        <v>324.77999999999997</v>
      </c>
      <c r="G271">
        <v>7</v>
      </c>
      <c r="H271" s="2">
        <v>0.53846153846153844</v>
      </c>
      <c r="I271">
        <v>995.6</v>
      </c>
      <c r="J271">
        <v>1</v>
      </c>
      <c r="K271" s="2">
        <v>3.0699999999999998E-2</v>
      </c>
    </row>
    <row r="272" spans="1:11" x14ac:dyDescent="0.3">
      <c r="A272" t="s">
        <v>22</v>
      </c>
      <c r="B272" t="s">
        <v>41</v>
      </c>
      <c r="C272" s="1">
        <v>45597</v>
      </c>
      <c r="D272">
        <v>23</v>
      </c>
      <c r="E272">
        <v>7</v>
      </c>
      <c r="F272">
        <v>190.12</v>
      </c>
      <c r="G272">
        <v>4</v>
      </c>
      <c r="H272" s="2">
        <v>0.5714285714285714</v>
      </c>
      <c r="I272">
        <v>788.65</v>
      </c>
      <c r="J272">
        <v>3</v>
      </c>
      <c r="K272" s="2">
        <v>7.2000000000000008E-2</v>
      </c>
    </row>
    <row r="273" spans="1:11" x14ac:dyDescent="0.3">
      <c r="A273" t="s">
        <v>23</v>
      </c>
      <c r="B273" t="s">
        <v>41</v>
      </c>
      <c r="C273" s="1">
        <v>45597</v>
      </c>
      <c r="D273">
        <v>32</v>
      </c>
      <c r="E273">
        <v>7</v>
      </c>
      <c r="F273">
        <v>563.41999999999996</v>
      </c>
      <c r="G273">
        <v>6</v>
      </c>
      <c r="H273" s="2">
        <v>0.8571428571428571</v>
      </c>
      <c r="I273">
        <v>3543.71</v>
      </c>
      <c r="J273">
        <v>2</v>
      </c>
      <c r="K273" s="2">
        <v>4.3799999999999999E-2</v>
      </c>
    </row>
    <row r="274" spans="1:11" x14ac:dyDescent="0.3">
      <c r="A274" t="s">
        <v>24</v>
      </c>
      <c r="B274" t="s">
        <v>41</v>
      </c>
      <c r="C274" s="1">
        <v>45597</v>
      </c>
      <c r="D274">
        <v>59</v>
      </c>
      <c r="E274">
        <v>21</v>
      </c>
      <c r="F274">
        <v>633.37</v>
      </c>
      <c r="G274">
        <v>2</v>
      </c>
      <c r="H274" s="2">
        <v>9.5238095238095233E-2</v>
      </c>
      <c r="I274">
        <v>358.29</v>
      </c>
      <c r="J274">
        <v>1</v>
      </c>
      <c r="K274" s="2">
        <v>3.27E-2</v>
      </c>
    </row>
    <row r="275" spans="1:11" x14ac:dyDescent="0.3">
      <c r="A275" t="s">
        <v>25</v>
      </c>
      <c r="B275" t="s">
        <v>41</v>
      </c>
      <c r="C275" s="1">
        <v>45597</v>
      </c>
      <c r="D275">
        <v>30</v>
      </c>
      <c r="E275">
        <v>6</v>
      </c>
      <c r="F275">
        <v>209.84</v>
      </c>
      <c r="G275">
        <v>1</v>
      </c>
      <c r="H275" s="2">
        <v>0.16666666666666666</v>
      </c>
      <c r="I275">
        <v>3534.1</v>
      </c>
      <c r="J275">
        <v>3</v>
      </c>
      <c r="K275" s="2">
        <v>4.2000000000000003E-2</v>
      </c>
    </row>
    <row r="276" spans="1:11" x14ac:dyDescent="0.3">
      <c r="A276" t="s">
        <v>26</v>
      </c>
      <c r="B276" t="s">
        <v>41</v>
      </c>
      <c r="C276" s="1">
        <v>45597</v>
      </c>
      <c r="D276">
        <v>65</v>
      </c>
      <c r="E276">
        <v>9</v>
      </c>
      <c r="F276">
        <v>220.46</v>
      </c>
      <c r="G276">
        <v>3</v>
      </c>
      <c r="H276" s="2">
        <v>0.33333333333333331</v>
      </c>
      <c r="I276">
        <v>707.75</v>
      </c>
      <c r="J276">
        <v>2</v>
      </c>
      <c r="K276" s="2">
        <v>2.76E-2</v>
      </c>
    </row>
    <row r="277" spans="1:11" x14ac:dyDescent="0.3">
      <c r="A277" t="s">
        <v>27</v>
      </c>
      <c r="B277" t="s">
        <v>41</v>
      </c>
      <c r="C277" s="1">
        <v>45597</v>
      </c>
      <c r="D277">
        <v>100</v>
      </c>
      <c r="E277">
        <v>6</v>
      </c>
      <c r="F277">
        <v>153.34</v>
      </c>
      <c r="G277">
        <v>3</v>
      </c>
      <c r="H277" s="2">
        <v>0.5</v>
      </c>
      <c r="I277">
        <v>1248.54</v>
      </c>
      <c r="J277">
        <v>1</v>
      </c>
      <c r="K277" s="2">
        <v>7.9000000000000001E-2</v>
      </c>
    </row>
    <row r="278" spans="1:11" x14ac:dyDescent="0.3">
      <c r="A278" t="s">
        <v>28</v>
      </c>
      <c r="B278" t="s">
        <v>41</v>
      </c>
      <c r="C278" s="1">
        <v>45597</v>
      </c>
      <c r="D278">
        <v>81</v>
      </c>
      <c r="E278">
        <v>7</v>
      </c>
      <c r="F278">
        <v>79.62</v>
      </c>
      <c r="G278">
        <v>7</v>
      </c>
      <c r="H278" s="2">
        <v>1</v>
      </c>
      <c r="I278">
        <v>3892.76</v>
      </c>
      <c r="J278">
        <v>3</v>
      </c>
      <c r="K278" s="2">
        <v>9.74E-2</v>
      </c>
    </row>
    <row r="279" spans="1:11" x14ac:dyDescent="0.3">
      <c r="A279" t="s">
        <v>29</v>
      </c>
      <c r="B279" t="s">
        <v>41</v>
      </c>
      <c r="C279" s="1">
        <v>45597</v>
      </c>
      <c r="D279">
        <v>26</v>
      </c>
      <c r="E279">
        <v>17</v>
      </c>
      <c r="F279">
        <v>504.54</v>
      </c>
      <c r="G279">
        <v>8</v>
      </c>
      <c r="H279" s="2">
        <v>0.47058823529411764</v>
      </c>
      <c r="I279">
        <v>3359.77</v>
      </c>
      <c r="J279">
        <v>2</v>
      </c>
      <c r="K279" s="2">
        <v>3.2000000000000001E-2</v>
      </c>
    </row>
    <row r="280" spans="1:11" x14ac:dyDescent="0.3">
      <c r="A280" t="s">
        <v>30</v>
      </c>
      <c r="B280" t="s">
        <v>41</v>
      </c>
      <c r="C280" s="1">
        <v>45597</v>
      </c>
      <c r="D280">
        <v>96</v>
      </c>
      <c r="E280">
        <v>16</v>
      </c>
      <c r="F280">
        <v>161.69</v>
      </c>
      <c r="G280">
        <v>5</v>
      </c>
      <c r="H280" s="2">
        <v>0.3125</v>
      </c>
      <c r="I280">
        <v>392.05</v>
      </c>
      <c r="J280">
        <v>1</v>
      </c>
      <c r="K280" s="2">
        <v>9.5700000000000007E-2</v>
      </c>
    </row>
    <row r="281" spans="1:11" x14ac:dyDescent="0.3">
      <c r="A281" t="s">
        <v>31</v>
      </c>
      <c r="B281" t="s">
        <v>41</v>
      </c>
      <c r="C281" s="1">
        <v>45597</v>
      </c>
      <c r="D281">
        <v>72</v>
      </c>
      <c r="E281">
        <v>12</v>
      </c>
      <c r="F281">
        <v>474.28</v>
      </c>
      <c r="G281">
        <v>1</v>
      </c>
      <c r="H281" s="2">
        <v>8.3333333333333329E-2</v>
      </c>
      <c r="I281">
        <v>1097.5999999999999</v>
      </c>
      <c r="J281">
        <v>3</v>
      </c>
      <c r="K281" s="2">
        <v>1E-3</v>
      </c>
    </row>
    <row r="282" spans="1:11" x14ac:dyDescent="0.3">
      <c r="A282" t="s">
        <v>32</v>
      </c>
      <c r="B282" t="s">
        <v>41</v>
      </c>
      <c r="C282" s="1">
        <v>45597</v>
      </c>
      <c r="D282">
        <v>18</v>
      </c>
      <c r="E282">
        <v>15</v>
      </c>
      <c r="F282">
        <v>268.94</v>
      </c>
      <c r="G282">
        <v>1</v>
      </c>
      <c r="H282" s="2">
        <v>6.6666666666666666E-2</v>
      </c>
      <c r="I282">
        <v>1469.71</v>
      </c>
      <c r="J282">
        <v>2</v>
      </c>
      <c r="K282" s="2">
        <v>5.0900000000000001E-2</v>
      </c>
    </row>
    <row r="283" spans="1:11" x14ac:dyDescent="0.3">
      <c r="A283" t="s">
        <v>33</v>
      </c>
      <c r="B283" t="s">
        <v>41</v>
      </c>
      <c r="C283" s="1">
        <v>45597</v>
      </c>
      <c r="D283">
        <v>87</v>
      </c>
      <c r="E283">
        <v>5</v>
      </c>
      <c r="F283">
        <v>601.28</v>
      </c>
      <c r="G283">
        <v>2</v>
      </c>
      <c r="H283" s="2">
        <v>0.4</v>
      </c>
      <c r="I283">
        <v>3491.19</v>
      </c>
      <c r="J283">
        <v>1</v>
      </c>
      <c r="K283" s="2">
        <v>2.9700000000000001E-2</v>
      </c>
    </row>
    <row r="284" spans="1:11" x14ac:dyDescent="0.3">
      <c r="A284" t="s">
        <v>34</v>
      </c>
      <c r="B284" t="s">
        <v>41</v>
      </c>
      <c r="C284" s="1">
        <v>45597</v>
      </c>
      <c r="D284">
        <v>73</v>
      </c>
      <c r="E284">
        <v>8</v>
      </c>
      <c r="F284">
        <v>182.48</v>
      </c>
      <c r="G284">
        <v>8</v>
      </c>
      <c r="H284" s="2">
        <v>1</v>
      </c>
      <c r="I284">
        <v>548.46</v>
      </c>
      <c r="J284">
        <v>1</v>
      </c>
      <c r="K284" s="2">
        <v>8.8200000000000001E-2</v>
      </c>
    </row>
    <row r="285" spans="1:11" x14ac:dyDescent="0.3">
      <c r="A285" t="s">
        <v>35</v>
      </c>
      <c r="B285" t="s">
        <v>41</v>
      </c>
      <c r="C285" s="1">
        <v>45597</v>
      </c>
      <c r="D285">
        <v>97</v>
      </c>
      <c r="E285">
        <v>14</v>
      </c>
      <c r="F285">
        <v>368.16</v>
      </c>
      <c r="G285">
        <v>0</v>
      </c>
      <c r="H285" s="2">
        <v>0</v>
      </c>
      <c r="I285">
        <v>3020.19</v>
      </c>
      <c r="J285">
        <v>3</v>
      </c>
      <c r="K285" s="2">
        <v>2.5099999999999997E-2</v>
      </c>
    </row>
    <row r="286" spans="1:11" x14ac:dyDescent="0.3">
      <c r="A286" t="s">
        <v>37</v>
      </c>
      <c r="B286" t="s">
        <v>41</v>
      </c>
      <c r="C286" s="1">
        <v>45597</v>
      </c>
      <c r="D286">
        <v>28</v>
      </c>
      <c r="E286">
        <v>12</v>
      </c>
      <c r="F286">
        <v>565.51</v>
      </c>
      <c r="G286">
        <v>4</v>
      </c>
      <c r="H286" s="2">
        <v>0.33333333333333331</v>
      </c>
      <c r="I286">
        <v>231.16</v>
      </c>
      <c r="J286">
        <v>2</v>
      </c>
      <c r="K286" s="2">
        <v>6.2699999999999992E-2</v>
      </c>
    </row>
    <row r="287" spans="1:11" x14ac:dyDescent="0.3">
      <c r="A287" t="s">
        <v>38</v>
      </c>
      <c r="B287" t="s">
        <v>41</v>
      </c>
      <c r="C287" s="1">
        <v>45597</v>
      </c>
      <c r="D287">
        <v>41</v>
      </c>
      <c r="E287">
        <v>13</v>
      </c>
      <c r="F287">
        <v>370.44</v>
      </c>
      <c r="G287">
        <v>9</v>
      </c>
      <c r="H287" s="2">
        <v>0.69230769230769229</v>
      </c>
      <c r="I287">
        <v>4484.96</v>
      </c>
      <c r="J287">
        <v>1</v>
      </c>
      <c r="K287" s="2">
        <v>8.5199999999999998E-2</v>
      </c>
    </row>
    <row r="288" spans="1:11" x14ac:dyDescent="0.3">
      <c r="A288" t="s">
        <v>11</v>
      </c>
      <c r="B288" t="s">
        <v>41</v>
      </c>
      <c r="C288" s="1">
        <v>45627</v>
      </c>
      <c r="D288">
        <v>61</v>
      </c>
      <c r="E288">
        <v>13</v>
      </c>
      <c r="F288">
        <v>356.61</v>
      </c>
      <c r="G288">
        <v>7</v>
      </c>
      <c r="H288" s="2">
        <v>0.53846153846153844</v>
      </c>
      <c r="I288">
        <v>4099.6400000000003</v>
      </c>
      <c r="J288">
        <v>3</v>
      </c>
      <c r="K288" s="2">
        <v>2.9600000000000001E-2</v>
      </c>
    </row>
    <row r="289" spans="1:11" x14ac:dyDescent="0.3">
      <c r="A289" t="s">
        <v>13</v>
      </c>
      <c r="B289" t="s">
        <v>41</v>
      </c>
      <c r="C289" s="1">
        <v>45627</v>
      </c>
      <c r="D289">
        <v>80</v>
      </c>
      <c r="E289">
        <v>13</v>
      </c>
      <c r="F289">
        <v>369.46</v>
      </c>
      <c r="G289">
        <v>4</v>
      </c>
      <c r="H289" s="2">
        <v>0.30769230769230771</v>
      </c>
      <c r="I289">
        <v>3996.04</v>
      </c>
      <c r="J289">
        <v>2</v>
      </c>
      <c r="K289" s="2">
        <v>3.7499999999999999E-2</v>
      </c>
    </row>
    <row r="290" spans="1:11" x14ac:dyDescent="0.3">
      <c r="A290" t="s">
        <v>14</v>
      </c>
      <c r="B290" t="s">
        <v>41</v>
      </c>
      <c r="C290" s="1">
        <v>45627</v>
      </c>
      <c r="D290">
        <v>51</v>
      </c>
      <c r="E290">
        <v>14</v>
      </c>
      <c r="F290">
        <v>419.93</v>
      </c>
      <c r="G290">
        <v>2</v>
      </c>
      <c r="H290" s="2">
        <v>0.14285714285714285</v>
      </c>
      <c r="I290">
        <v>3543.6</v>
      </c>
      <c r="J290">
        <v>1</v>
      </c>
      <c r="K290" s="2">
        <v>4.6300000000000001E-2</v>
      </c>
    </row>
    <row r="291" spans="1:11" x14ac:dyDescent="0.3">
      <c r="A291" t="s">
        <v>15</v>
      </c>
      <c r="B291" t="s">
        <v>41</v>
      </c>
      <c r="C291" s="1">
        <v>45627</v>
      </c>
      <c r="D291">
        <v>20</v>
      </c>
      <c r="E291">
        <v>5</v>
      </c>
      <c r="F291">
        <v>71.41</v>
      </c>
      <c r="G291">
        <v>3</v>
      </c>
      <c r="H291" s="2">
        <v>0.6</v>
      </c>
      <c r="I291">
        <v>1527.27</v>
      </c>
      <c r="J291">
        <v>3</v>
      </c>
      <c r="K291" s="2">
        <v>2.7000000000000003E-2</v>
      </c>
    </row>
    <row r="292" spans="1:11" x14ac:dyDescent="0.3">
      <c r="A292" t="s">
        <v>16</v>
      </c>
      <c r="B292" t="s">
        <v>41</v>
      </c>
      <c r="C292" s="1">
        <v>45627</v>
      </c>
      <c r="D292">
        <v>101</v>
      </c>
      <c r="E292">
        <v>14</v>
      </c>
      <c r="F292">
        <v>503.93</v>
      </c>
      <c r="G292">
        <v>5</v>
      </c>
      <c r="H292" s="2">
        <v>0.35714285714285715</v>
      </c>
      <c r="I292">
        <v>1116.6099999999999</v>
      </c>
      <c r="J292">
        <v>2</v>
      </c>
      <c r="K292" s="2">
        <v>3.7000000000000005E-2</v>
      </c>
    </row>
    <row r="293" spans="1:11" x14ac:dyDescent="0.3">
      <c r="A293" t="s">
        <v>17</v>
      </c>
      <c r="B293" t="s">
        <v>41</v>
      </c>
      <c r="C293" s="1">
        <v>45627</v>
      </c>
      <c r="D293">
        <v>70</v>
      </c>
      <c r="E293">
        <v>6</v>
      </c>
      <c r="F293">
        <v>488.97</v>
      </c>
      <c r="G293">
        <v>3</v>
      </c>
      <c r="H293" s="2">
        <v>0.5</v>
      </c>
      <c r="I293">
        <v>3767.09</v>
      </c>
      <c r="J293">
        <v>1</v>
      </c>
      <c r="K293" s="2">
        <v>1.0800000000000001E-2</v>
      </c>
    </row>
    <row r="294" spans="1:11" x14ac:dyDescent="0.3">
      <c r="A294" t="s">
        <v>18</v>
      </c>
      <c r="B294" t="s">
        <v>41</v>
      </c>
      <c r="C294" s="1">
        <v>45627</v>
      </c>
      <c r="D294">
        <v>84</v>
      </c>
      <c r="E294">
        <v>19</v>
      </c>
      <c r="F294">
        <v>301.2</v>
      </c>
      <c r="G294">
        <v>2</v>
      </c>
      <c r="H294" s="2">
        <v>0.10526315789473684</v>
      </c>
      <c r="I294">
        <v>2608.4699999999998</v>
      </c>
      <c r="J294">
        <v>3</v>
      </c>
      <c r="K294" s="2">
        <v>0.1032</v>
      </c>
    </row>
    <row r="295" spans="1:11" x14ac:dyDescent="0.3">
      <c r="A295" t="s">
        <v>19</v>
      </c>
      <c r="B295" t="s">
        <v>41</v>
      </c>
      <c r="C295" s="1">
        <v>45627</v>
      </c>
      <c r="D295">
        <v>50</v>
      </c>
      <c r="E295">
        <v>6</v>
      </c>
      <c r="F295">
        <v>219.19</v>
      </c>
      <c r="G295">
        <v>4</v>
      </c>
      <c r="H295" s="2">
        <v>0.66666666666666663</v>
      </c>
      <c r="I295">
        <v>3836.95</v>
      </c>
      <c r="J295">
        <v>2</v>
      </c>
      <c r="K295" s="2">
        <v>3.8699999999999998E-2</v>
      </c>
    </row>
    <row r="296" spans="1:11" x14ac:dyDescent="0.3">
      <c r="A296" t="s">
        <v>20</v>
      </c>
      <c r="B296" t="s">
        <v>41</v>
      </c>
      <c r="C296" s="1">
        <v>45627</v>
      </c>
      <c r="D296">
        <v>28</v>
      </c>
      <c r="E296">
        <v>19</v>
      </c>
      <c r="F296">
        <v>352.06</v>
      </c>
      <c r="G296">
        <v>9</v>
      </c>
      <c r="H296" s="2">
        <v>0.47368421052631576</v>
      </c>
      <c r="I296">
        <v>1107.51</v>
      </c>
      <c r="J296">
        <v>3</v>
      </c>
      <c r="K296" s="2">
        <v>5.5E-2</v>
      </c>
    </row>
    <row r="297" spans="1:11" x14ac:dyDescent="0.3">
      <c r="A297" t="s">
        <v>21</v>
      </c>
      <c r="B297" t="s">
        <v>41</v>
      </c>
      <c r="C297" s="1">
        <v>45627</v>
      </c>
      <c r="D297">
        <v>69</v>
      </c>
      <c r="E297">
        <v>16</v>
      </c>
      <c r="F297">
        <v>337.7</v>
      </c>
      <c r="G297">
        <v>9</v>
      </c>
      <c r="H297" s="2">
        <v>0.5625</v>
      </c>
      <c r="I297">
        <v>947.47</v>
      </c>
      <c r="J297">
        <v>2</v>
      </c>
      <c r="K297" s="2">
        <v>3.56E-2</v>
      </c>
    </row>
    <row r="298" spans="1:11" x14ac:dyDescent="0.3">
      <c r="A298" t="s">
        <v>22</v>
      </c>
      <c r="B298" t="s">
        <v>41</v>
      </c>
      <c r="C298" s="1">
        <v>45627</v>
      </c>
      <c r="D298">
        <v>18</v>
      </c>
      <c r="E298">
        <v>6</v>
      </c>
      <c r="F298">
        <v>212.39</v>
      </c>
      <c r="G298">
        <v>3</v>
      </c>
      <c r="H298" s="2">
        <v>0.5</v>
      </c>
      <c r="I298">
        <v>730.81</v>
      </c>
      <c r="J298">
        <v>1</v>
      </c>
      <c r="K298" s="2">
        <v>8.6699999999999999E-2</v>
      </c>
    </row>
    <row r="299" spans="1:11" x14ac:dyDescent="0.3">
      <c r="A299" t="s">
        <v>23</v>
      </c>
      <c r="B299" t="s">
        <v>41</v>
      </c>
      <c r="C299" s="1">
        <v>45627</v>
      </c>
      <c r="D299">
        <v>40</v>
      </c>
      <c r="E299">
        <v>7</v>
      </c>
      <c r="F299">
        <v>486.93</v>
      </c>
      <c r="G299">
        <v>7</v>
      </c>
      <c r="H299" s="2">
        <v>1</v>
      </c>
      <c r="I299">
        <v>3643.63</v>
      </c>
      <c r="J299">
        <v>3</v>
      </c>
      <c r="K299" s="2">
        <v>4.0199999999999993E-2</v>
      </c>
    </row>
    <row r="300" spans="1:11" x14ac:dyDescent="0.3">
      <c r="A300" t="s">
        <v>24</v>
      </c>
      <c r="B300" t="s">
        <v>41</v>
      </c>
      <c r="C300" s="1">
        <v>45627</v>
      </c>
      <c r="D300">
        <v>77</v>
      </c>
      <c r="E300">
        <v>16</v>
      </c>
      <c r="F300">
        <v>539.26</v>
      </c>
      <c r="G300">
        <v>3</v>
      </c>
      <c r="H300" s="2">
        <v>0.1875</v>
      </c>
      <c r="I300">
        <v>379.83</v>
      </c>
      <c r="J300">
        <v>2</v>
      </c>
      <c r="K300" s="2">
        <v>3.7999999999999999E-2</v>
      </c>
    </row>
    <row r="301" spans="1:11" x14ac:dyDescent="0.3">
      <c r="A301" t="s">
        <v>25</v>
      </c>
      <c r="B301" t="s">
        <v>41</v>
      </c>
      <c r="C301" s="1">
        <v>45627</v>
      </c>
      <c r="D301">
        <v>31</v>
      </c>
      <c r="E301">
        <v>6</v>
      </c>
      <c r="F301">
        <v>191.66</v>
      </c>
      <c r="G301">
        <v>2</v>
      </c>
      <c r="H301" s="2">
        <v>0.33333333333333331</v>
      </c>
      <c r="I301">
        <v>3753.06</v>
      </c>
      <c r="J301">
        <v>1</v>
      </c>
      <c r="K301" s="2">
        <v>3.8300000000000001E-2</v>
      </c>
    </row>
    <row r="302" spans="1:11" x14ac:dyDescent="0.3">
      <c r="A302" t="s">
        <v>26</v>
      </c>
      <c r="B302" t="s">
        <v>41</v>
      </c>
      <c r="C302" s="1">
        <v>45627</v>
      </c>
      <c r="D302">
        <v>57</v>
      </c>
      <c r="E302">
        <v>7</v>
      </c>
      <c r="F302">
        <v>190.08</v>
      </c>
      <c r="G302">
        <v>2</v>
      </c>
      <c r="H302" s="2">
        <v>0.2857142857142857</v>
      </c>
      <c r="I302">
        <v>649.97</v>
      </c>
      <c r="J302">
        <v>3</v>
      </c>
      <c r="K302" s="2">
        <v>2.8799999999999999E-2</v>
      </c>
    </row>
    <row r="303" spans="1:11" x14ac:dyDescent="0.3">
      <c r="A303" t="s">
        <v>27</v>
      </c>
      <c r="B303" t="s">
        <v>41</v>
      </c>
      <c r="C303" s="1">
        <v>45627</v>
      </c>
      <c r="D303">
        <v>88</v>
      </c>
      <c r="E303">
        <v>5</v>
      </c>
      <c r="F303">
        <v>168.89</v>
      </c>
      <c r="G303">
        <v>3</v>
      </c>
      <c r="H303" s="2">
        <v>0.6</v>
      </c>
      <c r="I303">
        <v>1153.93</v>
      </c>
      <c r="J303">
        <v>2</v>
      </c>
      <c r="K303" s="2">
        <v>8.2500000000000004E-2</v>
      </c>
    </row>
    <row r="304" spans="1:11" x14ac:dyDescent="0.3">
      <c r="A304" t="s">
        <v>28</v>
      </c>
      <c r="B304" t="s">
        <v>41</v>
      </c>
      <c r="C304" s="1">
        <v>45627</v>
      </c>
      <c r="D304">
        <v>74</v>
      </c>
      <c r="E304">
        <v>6</v>
      </c>
      <c r="F304">
        <v>87.83</v>
      </c>
      <c r="G304">
        <v>6</v>
      </c>
      <c r="H304" s="2">
        <v>1</v>
      </c>
      <c r="I304">
        <v>3741.27</v>
      </c>
      <c r="J304">
        <v>1</v>
      </c>
      <c r="K304" s="2">
        <v>9.9700000000000011E-2</v>
      </c>
    </row>
    <row r="305" spans="1:11" x14ac:dyDescent="0.3">
      <c r="A305" t="s">
        <v>29</v>
      </c>
      <c r="B305" t="s">
        <v>41</v>
      </c>
      <c r="C305" s="1">
        <v>45627</v>
      </c>
      <c r="D305">
        <v>26</v>
      </c>
      <c r="E305">
        <v>13</v>
      </c>
      <c r="F305">
        <v>543.15</v>
      </c>
      <c r="G305">
        <v>6</v>
      </c>
      <c r="H305" s="2">
        <v>0.46153846153846156</v>
      </c>
      <c r="I305">
        <v>3793.56</v>
      </c>
      <c r="J305">
        <v>3</v>
      </c>
      <c r="K305" s="2">
        <v>3.56E-2</v>
      </c>
    </row>
    <row r="306" spans="1:11" x14ac:dyDescent="0.3">
      <c r="A306" t="s">
        <v>30</v>
      </c>
      <c r="B306" t="s">
        <v>41</v>
      </c>
      <c r="C306" s="1">
        <v>45627</v>
      </c>
      <c r="D306">
        <v>99</v>
      </c>
      <c r="E306">
        <v>15</v>
      </c>
      <c r="F306">
        <v>181.12</v>
      </c>
      <c r="G306">
        <v>5</v>
      </c>
      <c r="H306" s="2">
        <v>0.33333333333333331</v>
      </c>
      <c r="I306">
        <v>454.09</v>
      </c>
      <c r="J306">
        <v>2</v>
      </c>
      <c r="K306" s="2">
        <v>9.3599999999999989E-2</v>
      </c>
    </row>
    <row r="307" spans="1:11" x14ac:dyDescent="0.3">
      <c r="A307" t="s">
        <v>31</v>
      </c>
      <c r="B307" t="s">
        <v>41</v>
      </c>
      <c r="C307" s="1">
        <v>45627</v>
      </c>
      <c r="D307">
        <v>74</v>
      </c>
      <c r="E307">
        <v>14</v>
      </c>
      <c r="F307">
        <v>508.85</v>
      </c>
      <c r="G307">
        <v>1</v>
      </c>
      <c r="H307" s="2">
        <v>7.1428571428571425E-2</v>
      </c>
      <c r="I307">
        <v>1182.6300000000001</v>
      </c>
      <c r="J307">
        <v>1</v>
      </c>
      <c r="K307" s="2">
        <v>8.9999999999999998E-4</v>
      </c>
    </row>
    <row r="308" spans="1:11" x14ac:dyDescent="0.3">
      <c r="A308" t="s">
        <v>32</v>
      </c>
      <c r="B308" t="s">
        <v>41</v>
      </c>
      <c r="C308" s="1">
        <v>45627</v>
      </c>
      <c r="D308">
        <v>21</v>
      </c>
      <c r="E308">
        <v>17</v>
      </c>
      <c r="F308">
        <v>297.83999999999997</v>
      </c>
      <c r="G308">
        <v>1</v>
      </c>
      <c r="H308" s="2">
        <v>5.8823529411764705E-2</v>
      </c>
      <c r="I308">
        <v>1553.7</v>
      </c>
      <c r="J308">
        <v>1</v>
      </c>
      <c r="K308" s="2">
        <v>5.0700000000000002E-2</v>
      </c>
    </row>
    <row r="309" spans="1:11" x14ac:dyDescent="0.3">
      <c r="A309" t="s">
        <v>33</v>
      </c>
      <c r="B309" t="s">
        <v>41</v>
      </c>
      <c r="C309" s="1">
        <v>45627</v>
      </c>
      <c r="D309">
        <v>94</v>
      </c>
      <c r="E309">
        <v>6</v>
      </c>
      <c r="F309">
        <v>537.26</v>
      </c>
      <c r="G309">
        <v>1</v>
      </c>
      <c r="H309" s="2">
        <v>0.16666666666666666</v>
      </c>
      <c r="I309">
        <v>3665.55</v>
      </c>
      <c r="J309">
        <v>3</v>
      </c>
      <c r="K309" s="2">
        <v>3.0800000000000001E-2</v>
      </c>
    </row>
    <row r="310" spans="1:11" x14ac:dyDescent="0.3">
      <c r="A310" t="s">
        <v>34</v>
      </c>
      <c r="B310" t="s">
        <v>41</v>
      </c>
      <c r="C310" s="1">
        <v>45627</v>
      </c>
      <c r="D310">
        <v>83</v>
      </c>
      <c r="E310">
        <v>9</v>
      </c>
      <c r="F310">
        <v>188.49</v>
      </c>
      <c r="G310">
        <v>7</v>
      </c>
      <c r="H310" s="2">
        <v>0.77777777777777779</v>
      </c>
      <c r="I310">
        <v>545.09</v>
      </c>
      <c r="J310">
        <v>2</v>
      </c>
      <c r="K310" s="2">
        <v>8.5600000000000009E-2</v>
      </c>
    </row>
    <row r="311" spans="1:11" x14ac:dyDescent="0.3">
      <c r="A311" t="s">
        <v>35</v>
      </c>
      <c r="B311" t="s">
        <v>41</v>
      </c>
      <c r="C311" s="1">
        <v>45627</v>
      </c>
      <c r="D311">
        <v>84</v>
      </c>
      <c r="E311">
        <v>14</v>
      </c>
      <c r="F311">
        <v>370.36</v>
      </c>
      <c r="G311">
        <v>0</v>
      </c>
      <c r="H311" s="2">
        <v>0</v>
      </c>
      <c r="I311">
        <v>2605.02</v>
      </c>
      <c r="J311">
        <v>1</v>
      </c>
      <c r="K311" s="2">
        <v>2.5499999999999998E-2</v>
      </c>
    </row>
    <row r="312" spans="1:11" x14ac:dyDescent="0.3">
      <c r="A312" t="s">
        <v>37</v>
      </c>
      <c r="B312" t="s">
        <v>41</v>
      </c>
      <c r="C312" s="1">
        <v>45627</v>
      </c>
      <c r="D312">
        <v>32</v>
      </c>
      <c r="E312">
        <v>10</v>
      </c>
      <c r="F312">
        <v>500.83</v>
      </c>
      <c r="G312">
        <v>4</v>
      </c>
      <c r="H312" s="2">
        <v>0.4</v>
      </c>
      <c r="I312">
        <v>239.13</v>
      </c>
      <c r="J312">
        <v>3</v>
      </c>
      <c r="K312" s="2">
        <v>6.1900000000000004E-2</v>
      </c>
    </row>
    <row r="313" spans="1:11" x14ac:dyDescent="0.3">
      <c r="A313" t="s">
        <v>38</v>
      </c>
      <c r="B313" t="s">
        <v>41</v>
      </c>
      <c r="C313" s="1">
        <v>45627</v>
      </c>
      <c r="D313">
        <v>39</v>
      </c>
      <c r="E313">
        <v>15</v>
      </c>
      <c r="F313">
        <v>319.08999999999997</v>
      </c>
      <c r="G313">
        <v>7</v>
      </c>
      <c r="H313" s="2">
        <v>0.46666666666666667</v>
      </c>
      <c r="I313">
        <v>4573.5</v>
      </c>
      <c r="J313">
        <v>2</v>
      </c>
      <c r="K313" s="2">
        <v>8.0399999999999985E-2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C93C8-CB76-4BD3-8C27-DFF59B1D881E}">
  <dimension ref="C3:D6"/>
  <sheetViews>
    <sheetView zoomScale="140" zoomScaleNormal="140" workbookViewId="0">
      <selection activeCell="D5" sqref="D5"/>
    </sheetView>
  </sheetViews>
  <sheetFormatPr defaultRowHeight="14.4" x14ac:dyDescent="0.3"/>
  <sheetData>
    <row r="3" spans="3:4" x14ac:dyDescent="0.3">
      <c r="C3" s="4">
        <v>1</v>
      </c>
      <c r="D3" t="s">
        <v>42</v>
      </c>
    </row>
    <row r="4" spans="3:4" x14ac:dyDescent="0.3">
      <c r="C4" s="4">
        <v>2</v>
      </c>
      <c r="D4" t="s">
        <v>72</v>
      </c>
    </row>
    <row r="5" spans="3:4" x14ac:dyDescent="0.3">
      <c r="C5" s="4">
        <v>3</v>
      </c>
      <c r="D5" t="s">
        <v>44</v>
      </c>
    </row>
    <row r="6" spans="3:4" x14ac:dyDescent="0.3">
      <c r="C6" s="4">
        <v>4</v>
      </c>
      <c r="D6"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Calculation</vt:lpstr>
      <vt:lpstr>Raw data</vt:lpstr>
      <vt:lpstr>REQ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 chy</dc:creator>
  <cp:lastModifiedBy>sami chy</cp:lastModifiedBy>
  <dcterms:created xsi:type="dcterms:W3CDTF">2026-02-02T14:16:26Z</dcterms:created>
  <dcterms:modified xsi:type="dcterms:W3CDTF">2026-02-03T19:28:11Z</dcterms:modified>
</cp:coreProperties>
</file>